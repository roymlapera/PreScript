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drawings/drawing16.xml" ContentType="application/vnd.openxmlformats-officedocument.drawing+xml"/>
  <Override PartName="/xl/tables/table15.xml" ContentType="application/vnd.openxmlformats-officedocument.spreadsheetml.table+xml"/>
  <Override PartName="/xl/drawings/drawing17.xml" ContentType="application/vnd.openxmlformats-officedocument.drawing+xml"/>
  <Override PartName="/xl/tables/table16.xml" ContentType="application/vnd.openxmlformats-officedocument.spreadsheetml.table+xml"/>
  <Override PartName="/xl/drawings/drawing18.xml" ContentType="application/vnd.openxmlformats-officedocument.drawing+xml"/>
  <Override PartName="/xl/tables/table17.xml" ContentType="application/vnd.openxmlformats-officedocument.spreadsheetml.table+xml"/>
  <Override PartName="/xl/drawings/drawing19.xml" ContentType="application/vnd.openxmlformats-officedocument.drawing+xml"/>
  <Override PartName="/xl/tables/table18.xml" ContentType="application/vnd.openxmlformats-officedocument.spreadsheetml.table+xml"/>
  <Override PartName="/xl/drawings/drawing20.xml" ContentType="application/vnd.openxmlformats-officedocument.drawing+xml"/>
  <Override PartName="/xl/tables/table19.xml" ContentType="application/vnd.openxmlformats-officedocument.spreadsheetml.table+xml"/>
  <Override PartName="/xl/drawings/drawing21.xml" ContentType="application/vnd.openxmlformats-officedocument.drawing+xml"/>
  <Override PartName="/xl/tables/table20.xml" ContentType="application/vnd.openxmlformats-officedocument.spreadsheetml.table+xml"/>
  <Override PartName="/xl/drawings/drawing22.xml" ContentType="application/vnd.openxmlformats-officedocument.drawing+xml"/>
  <Override PartName="/xl/tables/table21.xml" ContentType="application/vnd.openxmlformats-officedocument.spreadsheetml.table+xml"/>
  <Override PartName="/xl/drawings/drawing23.xml" ContentType="application/vnd.openxmlformats-officedocument.drawing+xml"/>
  <Override PartName="/xl/tables/table22.xml" ContentType="application/vnd.openxmlformats-officedocument.spreadsheetml.table+xml"/>
  <Override PartName="/xl/drawings/drawing24.xml" ContentType="application/vnd.openxmlformats-officedocument.drawing+xml"/>
  <Override PartName="/xl/tables/table23.xml" ContentType="application/vnd.openxmlformats-officedocument.spreadsheetml.table+xml"/>
  <Override PartName="/xl/drawings/drawing25.xml" ContentType="application/vnd.openxmlformats-officedocument.drawing+xml"/>
  <Override PartName="/xl/tables/table24.xml" ContentType="application/vnd.openxmlformats-officedocument.spreadsheetml.table+xml"/>
  <Override PartName="/xl/drawings/drawing26.xml" ContentType="application/vnd.openxmlformats-officedocument.drawing+xml"/>
  <Override PartName="/xl/tables/table25.xml" ContentType="application/vnd.openxmlformats-officedocument.spreadsheetml.table+xml"/>
  <Override PartName="/xl/drawings/drawing27.xml" ContentType="application/vnd.openxmlformats-officedocument.drawing+xml"/>
  <Override PartName="/xl/tables/table26.xml" ContentType="application/vnd.openxmlformats-officedocument.spreadsheetml.table+xml"/>
  <Override PartName="/xl/drawings/drawing28.xml" ContentType="application/vnd.openxmlformats-officedocument.drawing+xml"/>
  <Override PartName="/xl/tables/table27.xml" ContentType="application/vnd.openxmlformats-officedocument.spreadsheetml.table+xml"/>
  <Override PartName="/xl/drawings/drawing29.xml" ContentType="application/vnd.openxmlformats-officedocument.drawing+xml"/>
  <Override PartName="/xl/tables/table28.xml" ContentType="application/vnd.openxmlformats-officedocument.spreadsheetml.table+xml"/>
  <Override PartName="/xl/drawings/drawing30.xml" ContentType="application/vnd.openxmlformats-officedocument.drawing+xml"/>
  <Override PartName="/xl/tables/table29.xml" ContentType="application/vnd.openxmlformats-officedocument.spreadsheetml.table+xml"/>
  <Override PartName="/xl/drawings/drawing31.xml" ContentType="application/vnd.openxmlformats-officedocument.drawing+xml"/>
  <Override PartName="/xl/tables/table30.xml" ContentType="application/vnd.openxmlformats-officedocument.spreadsheetml.table+xml"/>
  <Override PartName="/xl/drawings/drawing32.xml" ContentType="application/vnd.openxmlformats-officedocument.drawing+xml"/>
  <Override PartName="/xl/tables/table31.xml" ContentType="application/vnd.openxmlformats-officedocument.spreadsheetml.table+xml"/>
  <Override PartName="/xl/drawings/drawing33.xml" ContentType="application/vnd.openxmlformats-officedocument.drawing+xml"/>
  <Override PartName="/xl/tables/table32.xml" ContentType="application/vnd.openxmlformats-officedocument.spreadsheetml.table+xml"/>
  <Override PartName="/xl/drawings/drawing34.xml" ContentType="application/vnd.openxmlformats-officedocument.drawing+xml"/>
  <Override PartName="/xl/tables/table33.xml" ContentType="application/vnd.openxmlformats-officedocument.spreadsheetml.table+xml"/>
  <Override PartName="/xl/drawings/drawing35.xml" ContentType="application/vnd.openxmlformats-officedocument.drawing+xml"/>
  <Override PartName="/xl/tables/table34.xml" ContentType="application/vnd.openxmlformats-officedocument.spreadsheetml.table+xml"/>
  <Override PartName="/xl/drawings/drawing36.xml" ContentType="application/vnd.openxmlformats-officedocument.drawing+xml"/>
  <Override PartName="/xl/tables/table35.xml" ContentType="application/vnd.openxmlformats-officedocument.spreadsheetml.table+xml"/>
  <Override PartName="/xl/drawings/drawing37.xml" ContentType="application/vnd.openxmlformats-officedocument.drawing+xml"/>
  <Override PartName="/xl/tables/table36.xml" ContentType="application/vnd.openxmlformats-officedocument.spreadsheetml.table+xml"/>
  <Override PartName="/xl/drawings/drawing38.xml" ContentType="application/vnd.openxmlformats-officedocument.drawing+xml"/>
  <Override PartName="/xl/tables/table37.xml" ContentType="application/vnd.openxmlformats-officedocument.spreadsheetml.table+xml"/>
  <Override PartName="/xl/drawings/drawing39.xml" ContentType="application/vnd.openxmlformats-officedocument.drawing+xml"/>
  <Override PartName="/xl/tables/table38.xml" ContentType="application/vnd.openxmlformats-officedocument.spreadsheetml.table+xml"/>
  <Override PartName="/xl/drawings/drawing40.xml" ContentType="application/vnd.openxmlformats-officedocument.drawing+xml"/>
  <Override PartName="/xl/tables/table39.xml" ContentType="application/vnd.openxmlformats-officedocument.spreadsheetml.table+xml"/>
  <Override PartName="/xl/drawings/drawing41.xml" ContentType="application/vnd.openxmlformats-officedocument.drawing+xml"/>
  <Override PartName="/xl/tables/table40.xml" ContentType="application/vnd.openxmlformats-officedocument.spreadsheetml.table+xml"/>
  <Override PartName="/xl/drawings/drawing42.xml" ContentType="application/vnd.openxmlformats-officedocument.drawing+xml"/>
  <Override PartName="/xl/tables/table41.xml" ContentType="application/vnd.openxmlformats-officedocument.spreadsheetml.table+xml"/>
  <Override PartName="/xl/drawings/drawing43.xml" ContentType="application/vnd.openxmlformats-officedocument.drawing+xml"/>
  <Override PartName="/xl/tables/table42.xml" ContentType="application/vnd.openxmlformats-officedocument.spreadsheetml.table+xml"/>
  <Override PartName="/xl/drawings/drawing44.xml" ContentType="application/vnd.openxmlformats-officedocument.drawing+xml"/>
  <Override PartName="/xl/tables/table43.xml" ContentType="application/vnd.openxmlformats-officedocument.spreadsheetml.table+xml"/>
  <Override PartName="/xl/drawings/drawing45.xml" ContentType="application/vnd.openxmlformats-officedocument.drawing+xml"/>
  <Override PartName="/xl/tables/table44.xml" ContentType="application/vnd.openxmlformats-officedocument.spreadsheetml.table+xml"/>
  <Override PartName="/xl/drawings/drawing46.xml" ContentType="application/vnd.openxmlformats-officedocument.drawing+xml"/>
  <Override PartName="/xl/tables/table45.xml" ContentType="application/vnd.openxmlformats-officedocument.spreadsheetml.table+xml"/>
  <Override PartName="/xl/drawings/drawing47.xml" ContentType="application/vnd.openxmlformats-officedocument.drawing+xml"/>
  <Override PartName="/xl/tables/table46.xml" ContentType="application/vnd.openxmlformats-officedocument.spreadsheetml.table+xml"/>
  <Override PartName="/xl/drawings/drawing48.xml" ContentType="application/vnd.openxmlformats-officedocument.drawing+xml"/>
  <Override PartName="/xl/tables/table47.xml" ContentType="application/vnd.openxmlformats-officedocument.spreadsheetml.table+xml"/>
  <Override PartName="/xl/drawings/drawing49.xml" ContentType="application/vnd.openxmlformats-officedocument.drawing+xml"/>
  <Override PartName="/xl/tables/table48.xml" ContentType="application/vnd.openxmlformats-officedocument.spreadsheetml.table+xml"/>
  <Override PartName="/xl/drawings/drawing50.xml" ContentType="application/vnd.openxmlformats-officedocument.drawing+xml"/>
  <Override PartName="/xl/tables/table49.xml" ContentType="application/vnd.openxmlformats-officedocument.spreadsheetml.table+xml"/>
  <Override PartName="/xl/drawings/drawing51.xml" ContentType="application/vnd.openxmlformats-officedocument.drawing+xml"/>
  <Override PartName="/xl/tables/table50.xml" ContentType="application/vnd.openxmlformats-officedocument.spreadsheetml.table+xml"/>
  <Override PartName="/xl/drawings/drawing52.xml" ContentType="application/vnd.openxmlformats-officedocument.drawing+xml"/>
  <Override PartName="/xl/tables/table51.xml" ContentType="application/vnd.openxmlformats-officedocument.spreadsheetml.table+xml"/>
  <Override PartName="/xl/drawings/drawing53.xml" ContentType="application/vnd.openxmlformats-officedocument.drawing+xml"/>
  <Override PartName="/xl/tables/table52.xml" ContentType="application/vnd.openxmlformats-officedocument.spreadsheetml.table+xml"/>
  <Override PartName="/xl/drawings/drawing54.xml" ContentType="application/vnd.openxmlformats-officedocument.drawing+xml"/>
  <Override PartName="/xl/tables/table53.xml" ContentType="application/vnd.openxmlformats-officedocument.spreadsheetml.table+xml"/>
  <Override PartName="/xl/drawings/drawing55.xml" ContentType="application/vnd.openxmlformats-officedocument.drawing+xml"/>
  <Override PartName="/xl/tables/table54.xml" ContentType="application/vnd.openxmlformats-officedocument.spreadsheetml.table+xml"/>
  <Override PartName="/xl/drawings/drawing56.xml" ContentType="application/vnd.openxmlformats-officedocument.drawing+xml"/>
  <Override PartName="/xl/tables/table55.xml" ContentType="application/vnd.openxmlformats-officedocument.spreadsheetml.table+xml"/>
  <Override PartName="/xl/drawings/drawing57.xml" ContentType="application/vnd.openxmlformats-officedocument.drawing+xml"/>
  <Override PartName="/xl/tables/table56.xml" ContentType="application/vnd.openxmlformats-officedocument.spreadsheetml.table+xml"/>
  <Override PartName="/xl/drawings/drawing58.xml" ContentType="application/vnd.openxmlformats-officedocument.drawing+xml"/>
  <Override PartName="/xl/tables/table57.xml" ContentType="application/vnd.openxmlformats-officedocument.spreadsheetml.table+xml"/>
  <Override PartName="/xl/drawings/drawing59.xml" ContentType="application/vnd.openxmlformats-officedocument.drawing+xml"/>
  <Override PartName="/xl/tables/table58.xml" ContentType="application/vnd.openxmlformats-officedocument.spreadsheetml.table+xml"/>
  <Override PartName="/xl/drawings/drawing60.xml" ContentType="application/vnd.openxmlformats-officedocument.drawing+xml"/>
  <Override PartName="/xl/tables/table59.xml" ContentType="application/vnd.openxmlformats-officedocument.spreadsheetml.table+xml"/>
  <Override PartName="/xl/drawings/drawing61.xml" ContentType="application/vnd.openxmlformats-officedocument.drawing+xml"/>
  <Override PartName="/xl/tables/table60.xml" ContentType="application/vnd.openxmlformats-officedocument.spreadsheetml.table+xml"/>
  <Override PartName="/xl/drawings/drawing62.xml" ContentType="application/vnd.openxmlformats-officedocument.drawing+xml"/>
  <Override PartName="/xl/tables/table61.xml" ContentType="application/vnd.openxmlformats-officedocument.spreadsheetml.table+xml"/>
  <Override PartName="/xl/drawings/drawing63.xml" ContentType="application/vnd.openxmlformats-officedocument.drawing+xml"/>
  <Override PartName="/xl/tables/table62.xml" ContentType="application/vnd.openxmlformats-officedocument.spreadsheetml.table+xml"/>
  <Override PartName="/xl/drawings/drawing64.xml" ContentType="application/vnd.openxmlformats-officedocument.drawing+xml"/>
  <Override PartName="/xl/tables/table63.xml" ContentType="application/vnd.openxmlformats-officedocument.spreadsheetml.table+xml"/>
  <Override PartName="/xl/drawings/drawing65.xml" ContentType="application/vnd.openxmlformats-officedocument.drawing+xml"/>
  <Override PartName="/xl/tables/table6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8 - Físicos Médicos\Natalia Espector\2024 - Protocolos clínicos\"/>
    </mc:Choice>
  </mc:AlternateContent>
  <bookViews>
    <workbookView xWindow="0" yWindow="0" windowWidth="38400" windowHeight="17700" tabRatio="895" firstSheet="34" activeTab="61"/>
  </bookViews>
  <sheets>
    <sheet name="NE" sheetId="45" r:id="rId1"/>
    <sheet name="General" sheetId="1" r:id="rId2"/>
    <sheet name="TEMPLATE COPIAR AL FINAL" sheetId="2" r:id="rId3"/>
    <sheet name="VMI" sheetId="46" r:id="rId4"/>
    <sheet name="VMD" sheetId="47" r:id="rId5"/>
    <sheet name="VMI HIPO" sheetId="61" r:id="rId6"/>
    <sheet name="VMD HIPO" sheetId="60" r:id="rId7"/>
    <sheet name="VMI+BOOST INT HIPO" sheetId="64" r:id="rId8"/>
    <sheet name="VMD+BOOST INT HIPO" sheetId="65" r:id="rId9"/>
    <sheet name="VMI+BOOST INT" sheetId="3" r:id="rId10"/>
    <sheet name="VMD+BOOST INT" sheetId="4" r:id="rId11"/>
    <sheet name="VMI+BOOST SEC" sheetId="5" r:id="rId12"/>
    <sheet name="VMD+BOOST SEC" sheetId="6" r:id="rId13"/>
    <sheet name="VMI+LN" sheetId="7" r:id="rId14"/>
    <sheet name="VMD+LN" sheetId="8" r:id="rId15"/>
    <sheet name="VMI+LN+BOOST INT" sheetId="9" r:id="rId16"/>
    <sheet name="VMD+LN+BOOST INT" sheetId="10" r:id="rId17"/>
    <sheet name="VM_BILAT+BOOST INT" sheetId="51" r:id="rId18"/>
    <sheet name="VM_BILAT+LN_I+BOOST INT" sheetId="49" r:id="rId19"/>
    <sheet name="VM_BILAT+LN_D+BOOST INT" sheetId="50" r:id="rId20"/>
    <sheet name="VMI+LN+CMI+BOOST INT" sheetId="11" r:id="rId21"/>
    <sheet name="VMD+LN+CMI+BOOST INT" sheetId="12" r:id="rId22"/>
    <sheet name="LECHO_I" sheetId="13" r:id="rId23"/>
    <sheet name="LECHO_D" sheetId="14" r:id="rId24"/>
    <sheet name="LECHO_I+LN" sheetId="15" r:id="rId25"/>
    <sheet name="LECHO_D+LN" sheetId="16" r:id="rId26"/>
    <sheet name="LECHO_I+LN+CMI" sheetId="17" r:id="rId27"/>
    <sheet name="LECHO_D+LN+CMI" sheetId="18" r:id="rId28"/>
    <sheet name="APBI MAMA_D" sheetId="73" r:id="rId29"/>
    <sheet name="APBI MAMA_I" sheetId="74" r:id="rId30"/>
    <sheet name="VEJIGA+LN 5500-20FX" sheetId="70" r:id="rId31"/>
    <sheet name="PR 6000-20FX" sheetId="58" r:id="rId32"/>
    <sheet name="PR+VS 6000-20FX" sheetId="25" r:id="rId33"/>
    <sheet name="PR+VS+LN 6000-20FX" sheetId="67" r:id="rId34"/>
    <sheet name="PR+VS+LN 7020-27FX" sheetId="26" r:id="rId35"/>
    <sheet name="PR+VS+LN+LNpos 7020-27FX" sheetId="27" r:id="rId36"/>
    <sheet name="LECHO+LN 5240-20FX" sheetId="68" r:id="rId37"/>
    <sheet name="LECHO_PR HIPO 5240-20FX" sheetId="52" r:id="rId38"/>
    <sheet name="LECHO_PR+LN 7000 4600-35FX" sheetId="28" r:id="rId39"/>
    <sheet name="SBRT PR+VS 5FX" sheetId="72" r:id="rId40"/>
    <sheet name="CERVIX 4600-23FX" sheetId="29" r:id="rId41"/>
    <sheet name="ENDOMETRIO 4600-23FX" sheetId="55" r:id="rId42"/>
    <sheet name="PELVIS GINECOLOGICA" sheetId="57" r:id="rId43"/>
    <sheet name="PELVIS GINECOLOGICA + LA" sheetId="56" r:id="rId44"/>
    <sheet name="CERVIX+LN+LNPOS" sheetId="30" r:id="rId45"/>
    <sheet name="RECTO CURSO CORTO" sheetId="31" r:id="rId46"/>
    <sheet name="RECTO CURSO LARGO 50GY" sheetId="32" r:id="rId47"/>
    <sheet name="RECTO CURSO LARGO 54GY" sheetId="62" r:id="rId48"/>
    <sheet name="CYC 70-63-56" sheetId="33" r:id="rId49"/>
    <sheet name="CYC 70-63" sheetId="36" r:id="rId50"/>
    <sheet name="CYC 66-59.4-54.12" sheetId="48" r:id="rId51"/>
    <sheet name="GLIOBLASTOMA 60GY" sheetId="66" r:id="rId52"/>
    <sheet name="HOLOCRANEO 30GY" sheetId="37" r:id="rId53"/>
    <sheet name="HOLOCRANEO 25GY" sheetId="38" r:id="rId54"/>
    <sheet name="HOLOCRANEO PROTHIPO" sheetId="39" r:id="rId55"/>
    <sheet name="HOLOCRANEO PROTHIPO+BOOST" sheetId="54" r:id="rId56"/>
    <sheet name="GLOTIS 55GY" sheetId="69" r:id="rId57"/>
    <sheet name="ESOFAGO 50.4GY" sheetId="40" r:id="rId58"/>
    <sheet name="ESOFAGO 50GY" sheetId="71" r:id="rId59"/>
    <sheet name="ESOFAGO CROSS" sheetId="75" r:id="rId60"/>
    <sheet name="PULMON 50GY" sheetId="63" r:id="rId61"/>
    <sheet name="PALIATIVO 30GY" sheetId="41" r:id="rId62"/>
    <sheet name="PALIATIVO 25GY" sheetId="42" r:id="rId63"/>
    <sheet name="PALIATIVO 20GY" sheetId="43" r:id="rId64"/>
    <sheet name="PALIATIVO 8GY" sheetId="44" r:id="rId65"/>
  </sheets>
  <calcPr calcId="162913"/>
</workbook>
</file>

<file path=xl/calcChain.xml><?xml version="1.0" encoding="utf-8"?>
<calcChain xmlns="http://schemas.openxmlformats.org/spreadsheetml/2006/main">
  <c r="D5" i="75" l="1"/>
  <c r="D2" i="75"/>
  <c r="D5" i="74" l="1"/>
  <c r="D2" i="74"/>
  <c r="D5" i="73"/>
  <c r="D2" i="73"/>
  <c r="D5" i="72"/>
  <c r="D6" i="72"/>
  <c r="D2" i="72"/>
  <c r="D5" i="71"/>
  <c r="D2" i="71"/>
  <c r="D6" i="70" l="1"/>
  <c r="D5" i="70"/>
  <c r="D2" i="70"/>
  <c r="D5" i="69" l="1"/>
  <c r="D2" i="69"/>
  <c r="D5" i="68" l="1"/>
  <c r="D2" i="68"/>
  <c r="D6" i="67" l="1"/>
  <c r="D5" i="67"/>
  <c r="D2" i="67"/>
  <c r="D5" i="66" l="1"/>
  <c r="D2" i="66"/>
  <c r="D5" i="65" l="1"/>
  <c r="D2" i="65"/>
  <c r="D5" i="64"/>
  <c r="D2" i="64"/>
  <c r="D5" i="63" l="1"/>
  <c r="D2" i="63"/>
  <c r="D6" i="62" l="1"/>
  <c r="D5" i="62"/>
  <c r="D2" i="62"/>
  <c r="D5" i="61" l="1"/>
  <c r="D2" i="61"/>
  <c r="D5" i="60"/>
  <c r="D2" i="60"/>
  <c r="D5" i="58" l="1"/>
  <c r="D2" i="58"/>
  <c r="D6" i="57" l="1"/>
  <c r="D5" i="57"/>
  <c r="D2" i="57"/>
  <c r="D6" i="56"/>
  <c r="D5" i="56"/>
  <c r="D2" i="56"/>
  <c r="D5" i="55"/>
  <c r="D2" i="55"/>
  <c r="D5" i="54" l="1"/>
  <c r="D2" i="54"/>
  <c r="D5" i="52" l="1"/>
  <c r="D2" i="52"/>
  <c r="D2" i="51" l="1"/>
  <c r="D2" i="50" l="1"/>
  <c r="D2" i="49"/>
  <c r="D5" i="48" l="1"/>
  <c r="D2" i="48"/>
  <c r="D5" i="47" l="1"/>
  <c r="D2" i="47"/>
  <c r="D5" i="46"/>
  <c r="D2" i="46"/>
  <c r="D5" i="44" l="1"/>
  <c r="D2" i="44"/>
  <c r="D5" i="43" l="1"/>
  <c r="D2" i="43"/>
  <c r="D5" i="42"/>
  <c r="D2" i="42"/>
  <c r="D5" i="41"/>
  <c r="D2" i="41"/>
  <c r="D5" i="40"/>
  <c r="D2" i="40"/>
  <c r="D5" i="39"/>
  <c r="D2" i="39"/>
  <c r="D5" i="38"/>
  <c r="D2" i="38"/>
  <c r="D5" i="37"/>
  <c r="D2" i="37"/>
  <c r="D5" i="36"/>
  <c r="D2" i="36"/>
  <c r="D7" i="33"/>
  <c r="D6" i="33"/>
  <c r="D5" i="33"/>
  <c r="D2" i="33"/>
  <c r="D6" i="32"/>
  <c r="D5" i="32"/>
  <c r="D2" i="32"/>
  <c r="D5" i="31"/>
  <c r="D2" i="31"/>
  <c r="D7" i="30"/>
  <c r="D6" i="30"/>
  <c r="D5" i="30"/>
  <c r="D2" i="30"/>
  <c r="D5" i="29"/>
  <c r="D2" i="29"/>
  <c r="D7" i="28"/>
  <c r="D6" i="28"/>
  <c r="D5" i="28"/>
  <c r="D2" i="28"/>
  <c r="D8" i="27"/>
  <c r="D7" i="27"/>
  <c r="D6" i="27"/>
  <c r="D5" i="27"/>
  <c r="D2" i="27"/>
  <c r="D7" i="26"/>
  <c r="D6" i="26"/>
  <c r="D5" i="26"/>
  <c r="D2" i="26"/>
  <c r="D6" i="25"/>
  <c r="D5" i="25"/>
  <c r="D2" i="25"/>
  <c r="D2" i="18"/>
  <c r="D2" i="17"/>
  <c r="D6" i="16"/>
  <c r="D5" i="16"/>
  <c r="D2" i="16"/>
  <c r="D6" i="15"/>
  <c r="D5" i="15"/>
  <c r="D2" i="15"/>
  <c r="D5" i="14"/>
  <c r="D2" i="14"/>
  <c r="D5" i="13"/>
  <c r="D2" i="13"/>
  <c r="D2" i="12"/>
  <c r="D2" i="11"/>
  <c r="D2" i="10"/>
  <c r="D2" i="9"/>
  <c r="D2" i="8"/>
  <c r="D2" i="7"/>
  <c r="D2" i="6"/>
  <c r="D2" i="5"/>
  <c r="D6" i="4"/>
  <c r="D5" i="4"/>
  <c r="D2" i="4"/>
  <c r="D6" i="3"/>
  <c r="D5" i="3"/>
  <c r="D2" i="3"/>
  <c r="D5" i="2"/>
  <c r="D2" i="2"/>
</calcChain>
</file>

<file path=xl/sharedStrings.xml><?xml version="1.0" encoding="utf-8"?>
<sst xmlns="http://schemas.openxmlformats.org/spreadsheetml/2006/main" count="3251" uniqueCount="224">
  <si>
    <t>Constraint</t>
  </si>
  <si>
    <t>Unidad</t>
  </si>
  <si>
    <t>Protocolo de Imagenes</t>
  </si>
  <si>
    <t>V(D)&gt;V_%</t>
  </si>
  <si>
    <t>cGy</t>
  </si>
  <si>
    <t>%</t>
  </si>
  <si>
    <t>CBCT diario</t>
  </si>
  <si>
    <t>V(D)&lt;V_%</t>
  </si>
  <si>
    <t>Dmedia</t>
  </si>
  <si>
    <t>Dmax</t>
  </si>
  <si>
    <t>V(D)&lt;V_cc</t>
  </si>
  <si>
    <t>cc</t>
  </si>
  <si>
    <t>D(V_%)&lt;D</t>
  </si>
  <si>
    <t>D(V_%)&gt;D</t>
  </si>
  <si>
    <t>D(V_cc)&lt;D</t>
  </si>
  <si>
    <t>Portales ANT-LAT diario</t>
  </si>
  <si>
    <t>D(V_cc)&gt;D</t>
  </si>
  <si>
    <t>Portales ANT-LAT semanal</t>
  </si>
  <si>
    <t>Prescripción:</t>
  </si>
  <si>
    <t>TEMPLATE COPIAR AL FINAL</t>
  </si>
  <si>
    <t>Estructura</t>
  </si>
  <si>
    <t>Dosis total (cGy)</t>
  </si>
  <si>
    <t>Dosis diaria (cGy)</t>
  </si>
  <si>
    <t>Nro de fx</t>
  </si>
  <si>
    <t>Nro de etapa</t>
  </si>
  <si>
    <t>Protocolo Imágenes</t>
  </si>
  <si>
    <t>PTV_VMI</t>
  </si>
  <si>
    <t>Tipo de Estructura</t>
  </si>
  <si>
    <t>Tipo de Constraint</t>
  </si>
  <si>
    <t>Ideal</t>
  </si>
  <si>
    <t>Valor ref aux (dvh)</t>
  </si>
  <si>
    <t>Aceptable</t>
  </si>
  <si>
    <t>Valor ref limite aceptable aux (dvh)</t>
  </si>
  <si>
    <t>target</t>
  </si>
  <si>
    <t>ESTA LINEA TIENE QUE SER LA 46. Hardcodeado hasta este valor de fila. RL</t>
  </si>
  <si>
    <t>VMI+BOOST INT</t>
  </si>
  <si>
    <t>PTV_LUMP</t>
  </si>
  <si>
    <t>oar</t>
  </si>
  <si>
    <t>Mama_der</t>
  </si>
  <si>
    <t>Corazon</t>
  </si>
  <si>
    <t>Paciente</t>
  </si>
  <si>
    <t>Si es necesario agregar mas lineas de constraints, revisar el codigo. Hardcodeado hasta este valor de fila. RL</t>
  </si>
  <si>
    <t>VMD+BOOST INT</t>
  </si>
  <si>
    <t>PTV_VMD</t>
  </si>
  <si>
    <t>Higado</t>
  </si>
  <si>
    <t>VMI+BOOST SEC</t>
  </si>
  <si>
    <t>PTV_LUMP_E</t>
  </si>
  <si>
    <t>Mama_D</t>
  </si>
  <si>
    <t>Pulmon_I</t>
  </si>
  <si>
    <t>Pulmon_D</t>
  </si>
  <si>
    <t>VMD+BOOST SEC</t>
  </si>
  <si>
    <t>Mama_I</t>
  </si>
  <si>
    <t>VMI+LN</t>
  </si>
  <si>
    <t>PTV_LN</t>
  </si>
  <si>
    <t>Medula</t>
  </si>
  <si>
    <t>Humero_I</t>
  </si>
  <si>
    <t>Tiroides</t>
  </si>
  <si>
    <t>Esofago</t>
  </si>
  <si>
    <t>VMD+LN</t>
  </si>
  <si>
    <t>Humero_D</t>
  </si>
  <si>
    <t>VMI+LN+BOOST INT</t>
  </si>
  <si>
    <t>VMD+LN+BOOST INT</t>
  </si>
  <si>
    <t>VMI+LN+CMI+BOOST INT</t>
  </si>
  <si>
    <t>PTV_CMI</t>
  </si>
  <si>
    <t>VMD+LN+CMI+BOOST INT</t>
  </si>
  <si>
    <t>LECHO_I</t>
  </si>
  <si>
    <t>PTV_LECHO_I</t>
  </si>
  <si>
    <t>LECHO_D</t>
  </si>
  <si>
    <t>PTV_LECHO_D</t>
  </si>
  <si>
    <t>LECHO_I+LN</t>
  </si>
  <si>
    <t>LECHO_D+LN</t>
  </si>
  <si>
    <t>LECHO_I+LN+CMI</t>
  </si>
  <si>
    <t>LECHO_D+LN+CMI</t>
  </si>
  <si>
    <t>PR+VS 6000-20FX</t>
  </si>
  <si>
    <t>PTV_PR</t>
  </si>
  <si>
    <t>PTV_VS</t>
  </si>
  <si>
    <t>Recto</t>
  </si>
  <si>
    <t>Vejiga</t>
  </si>
  <si>
    <t>Bulbo_Peneano</t>
  </si>
  <si>
    <t>Femur_I</t>
  </si>
  <si>
    <t>Femur_D</t>
  </si>
  <si>
    <t>Isquion</t>
  </si>
  <si>
    <t>Pene</t>
  </si>
  <si>
    <t>PR+VS+LN 7020-27FX</t>
  </si>
  <si>
    <t>Intestinos</t>
  </si>
  <si>
    <t>Cauda_Equina</t>
  </si>
  <si>
    <t>PR+VS+LN+LNpos 7020-27FX</t>
  </si>
  <si>
    <t>PTV_LNpos</t>
  </si>
  <si>
    <t>LECHO_PR+LN 7000 4600-35FX</t>
  </si>
  <si>
    <t>PTV_LECHO</t>
  </si>
  <si>
    <t>CERVIX 4600-23FX</t>
  </si>
  <si>
    <t>PTV</t>
  </si>
  <si>
    <t>Sigma</t>
  </si>
  <si>
    <t>PTV_Lnpos</t>
  </si>
  <si>
    <t>RECTO CURSO CORTO</t>
  </si>
  <si>
    <t>CTV</t>
  </si>
  <si>
    <t>PTV_BOOST</t>
  </si>
  <si>
    <t>Piel</t>
  </si>
  <si>
    <t>Vejiga-PTV</t>
  </si>
  <si>
    <t>Intestinos-PTV</t>
  </si>
  <si>
    <t>Tronco</t>
  </si>
  <si>
    <t>Quiasma</t>
  </si>
  <si>
    <t>NervioOpt_I</t>
  </si>
  <si>
    <t>NervioOpt_D</t>
  </si>
  <si>
    <t>Ojo_I</t>
  </si>
  <si>
    <t>Ojo_D</t>
  </si>
  <si>
    <t>Cristalino_I</t>
  </si>
  <si>
    <t>Cristalino_D</t>
  </si>
  <si>
    <t>Mandibula</t>
  </si>
  <si>
    <t>Cerebro</t>
  </si>
  <si>
    <t>Cavidad_Oral</t>
  </si>
  <si>
    <t>Parotida_I</t>
  </si>
  <si>
    <t>Parotida_D</t>
  </si>
  <si>
    <t>Laringe</t>
  </si>
  <si>
    <t>CYC 70-63-56</t>
  </si>
  <si>
    <t>CYC 70-63</t>
  </si>
  <si>
    <t>HOLOCRANEO PROTHIPO</t>
  </si>
  <si>
    <t>Hipocampo</t>
  </si>
  <si>
    <t>PTV_T_LN</t>
  </si>
  <si>
    <t>CBCT dia por medio</t>
  </si>
  <si>
    <t>Tg interno + Tg externo + Ant boost - Semanal</t>
  </si>
  <si>
    <t>CBCT primer día (Syn) + Tg interno segundo día en (Plat). Semanal</t>
  </si>
  <si>
    <t>CBCT primeros 3 dias representativos para promedios + 1 por semana</t>
  </si>
  <si>
    <t>CBCT primer día + CBCT semanal o 2 veces por semana sujeto a setup</t>
  </si>
  <si>
    <t>Tg interno + Tg externo - Semanal + Setup Boost</t>
  </si>
  <si>
    <t>Portales POST-LAT diario</t>
  </si>
  <si>
    <t>Portales POST-LAT semanal</t>
  </si>
  <si>
    <t>Tg interno + Tg externo - Semanal</t>
  </si>
  <si>
    <t>Definir previo a setup</t>
  </si>
  <si>
    <t>Portales ANT-LAT día por medio</t>
  </si>
  <si>
    <t>Portales POST-LAT día por medio</t>
  </si>
  <si>
    <t>CBCT diario + CBCT primeros 3 días representativos para promedios</t>
  </si>
  <si>
    <t>CBCT día por medio + CBCT primeros 3 días representativos para promedios</t>
  </si>
  <si>
    <t>CBCT dos veces por semana + CBCT primeros 3 días representativos para promedios</t>
  </si>
  <si>
    <t>CBCT una vez por semana + CBCT primeros 3 días representativos para promedios</t>
  </si>
  <si>
    <t>NO AGREGAR PESTANAS NUEVAS ANTES DE VMI+BOOST INT</t>
  </si>
  <si>
    <t>VMI</t>
  </si>
  <si>
    <t>VMD</t>
  </si>
  <si>
    <t>Rinon_I</t>
  </si>
  <si>
    <t>Rinon_D</t>
  </si>
  <si>
    <t>CYC 66-59.4-54.12</t>
  </si>
  <si>
    <t>VM_BILAT+LN_I+BOOST INT</t>
  </si>
  <si>
    <t>VM_BILAT+LN_D+BOOST INT</t>
  </si>
  <si>
    <t>PTV_LUMP_I</t>
  </si>
  <si>
    <t>PTV_LUMP_D</t>
  </si>
  <si>
    <t>PTV_LN_I</t>
  </si>
  <si>
    <t>PTV_LN_D</t>
  </si>
  <si>
    <t>VM_BILAT+BOOST INT</t>
  </si>
  <si>
    <t>CERVIX+LN+LNPOS</t>
  </si>
  <si>
    <t>LECHO_PR HIPO 5240-20FX</t>
  </si>
  <si>
    <t>HOLOCRANEO PROTHIPO+BOOST</t>
  </si>
  <si>
    <t>ENDOMETRIO 4600-23FX</t>
  </si>
  <si>
    <t>PTV_50</t>
  </si>
  <si>
    <t>PTV_45</t>
  </si>
  <si>
    <t>Hígado</t>
  </si>
  <si>
    <t>PELVIS GINECOLOGICA + LA</t>
  </si>
  <si>
    <t>PELVIS GINECOLOGICA</t>
  </si>
  <si>
    <t>PR 6000-20FX</t>
  </si>
  <si>
    <t>VMD HIPO</t>
  </si>
  <si>
    <t>Tg interno + Tg externo - Diario</t>
  </si>
  <si>
    <t>VMI HIPO</t>
  </si>
  <si>
    <t>RECTO CURSO LARGO 54GY</t>
  </si>
  <si>
    <t>RECTO CURSO LARGO 50GY</t>
  </si>
  <si>
    <t>CBCT diario + Symmetry</t>
  </si>
  <si>
    <t>Arbol_Bronquial</t>
  </si>
  <si>
    <t>Traquea</t>
  </si>
  <si>
    <t>A_Aorta</t>
  </si>
  <si>
    <t>V_Cava_S</t>
  </si>
  <si>
    <t>V_Cava_I</t>
  </si>
  <si>
    <t>Pulmones_menos_ITV</t>
  </si>
  <si>
    <t>Dmed</t>
  </si>
  <si>
    <t>Costillas_I</t>
  </si>
  <si>
    <t>Costillas_D</t>
  </si>
  <si>
    <t>Pared_Costal_I</t>
  </si>
  <si>
    <t>Pared_Costal_D</t>
  </si>
  <si>
    <t>PTV_5940</t>
  </si>
  <si>
    <t>PTV_5412</t>
  </si>
  <si>
    <t>PTV_6600</t>
  </si>
  <si>
    <t>PTV_7000</t>
  </si>
  <si>
    <t>PTV_6300</t>
  </si>
  <si>
    <t>PTV_5600</t>
  </si>
  <si>
    <t>Parotida_Unilateral</t>
  </si>
  <si>
    <t>Coclea_I</t>
  </si>
  <si>
    <t>Coclea_D</t>
  </si>
  <si>
    <t>VMI+BOOST INT HIPO</t>
  </si>
  <si>
    <t>VMD+BOOST INT HIPO</t>
  </si>
  <si>
    <t>GLIOBLASTOMA 60GY</t>
  </si>
  <si>
    <t>Cerebro-PTV</t>
  </si>
  <si>
    <t>CBCT primer día (Syn) + Portales POST-LAT dia por medio</t>
  </si>
  <si>
    <t>PR+VS+LN 6000-20FX</t>
  </si>
  <si>
    <t>HOLOCRANEO 30GY</t>
  </si>
  <si>
    <t>HOLOCRANEO 25GY</t>
  </si>
  <si>
    <t>PULMON 50GY</t>
  </si>
  <si>
    <t>PALIATIVO 25GY</t>
  </si>
  <si>
    <t>PALIATIVO 30GY</t>
  </si>
  <si>
    <t>ESOFAGO 50.4GY</t>
  </si>
  <si>
    <t>PALIATIVO 8GY</t>
  </si>
  <si>
    <t>LECHO+LN 5240-20FX</t>
  </si>
  <si>
    <t>GLOTIS 55GY</t>
  </si>
  <si>
    <t>V(D)&gt;V_cc</t>
  </si>
  <si>
    <t>Carotida</t>
  </si>
  <si>
    <t>Parotidas</t>
  </si>
  <si>
    <t>G_Submandibulares</t>
  </si>
  <si>
    <t>VEJIGA+LN 5500-20FX</t>
  </si>
  <si>
    <t>PTV_T</t>
  </si>
  <si>
    <t>ESOFAGO 50GY</t>
  </si>
  <si>
    <t>Estomago</t>
  </si>
  <si>
    <t>Riñones</t>
  </si>
  <si>
    <t>SBRT PR+VS 5FX</t>
  </si>
  <si>
    <t>CBCT diario (SRS/SBRT)</t>
  </si>
  <si>
    <t>Uretra</t>
  </si>
  <si>
    <t>Colon</t>
  </si>
  <si>
    <t>Trigono</t>
  </si>
  <si>
    <t>APBI MAMA_D</t>
  </si>
  <si>
    <t>Mama_D-PTV</t>
  </si>
  <si>
    <t>Costillas</t>
  </si>
  <si>
    <t>APBI MAMA_I</t>
  </si>
  <si>
    <t>Mama_I-PTV</t>
  </si>
  <si>
    <t>ESOFAGO CROSS</t>
  </si>
  <si>
    <t>Pulmones</t>
  </si>
  <si>
    <t>PALIATIVO 20GY</t>
  </si>
  <si>
    <t>Genitales</t>
  </si>
  <si>
    <t>Noptico_I</t>
  </si>
  <si>
    <t>Noptico_D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</si>
</sst>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333333"/>
      <name val="Arial"/>
      <family val="2"/>
    </font>
    <font>
      <sz val="11"/>
      <color rgb="FFFFFFFF"/>
      <name val="Courier New"/>
      <family val="3"/>
    </font>
    <font>
      <sz val="12"/>
      <color rgb="FFE2EEFF"/>
      <name val="Arial"/>
      <family val="2"/>
    </font>
    <font>
      <sz val="15"/>
      <color rgb="FF22222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7" tint="0.39997558519241921"/>
      </left>
      <right style="thin">
        <color theme="7" tint="0.3999755851924192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2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1" xfId="0" applyBorder="1"/>
    <xf numFmtId="0" fontId="0" fillId="0" borderId="5" xfId="0" applyBorder="1"/>
    <xf numFmtId="0" fontId="1" fillId="0" borderId="5" xfId="0" applyFont="1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6" borderId="10" xfId="0" applyFont="1" applyFill="1" applyBorder="1"/>
    <xf numFmtId="0" fontId="3" fillId="6" borderId="11" xfId="0" applyFont="1" applyFill="1" applyBorder="1"/>
    <xf numFmtId="0" fontId="0" fillId="8" borderId="10" xfId="0" applyFill="1" applyBorder="1"/>
    <xf numFmtId="0" fontId="0" fillId="8" borderId="11" xfId="0" applyFill="1" applyBorder="1"/>
    <xf numFmtId="0" fontId="0" fillId="0" borderId="10" xfId="0" applyBorder="1"/>
    <xf numFmtId="0" fontId="0" fillId="0" borderId="11" xfId="0" applyBorder="1"/>
    <xf numFmtId="0" fontId="0" fillId="9" borderId="12" xfId="0" applyFill="1" applyBorder="1"/>
    <xf numFmtId="0" fontId="0" fillId="0" borderId="12" xfId="0" applyBorder="1"/>
    <xf numFmtId="0" fontId="3" fillId="3" borderId="13" xfId="0" applyFont="1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3" fillId="5" borderId="16" xfId="0" applyFont="1" applyFill="1" applyBorder="1"/>
    <xf numFmtId="0" fontId="3" fillId="5" borderId="17" xfId="0" applyFont="1" applyFill="1" applyBorder="1"/>
    <xf numFmtId="0" fontId="3" fillId="5" borderId="18" xfId="0" applyFont="1" applyFill="1" applyBorder="1"/>
    <xf numFmtId="0" fontId="0" fillId="8" borderId="19" xfId="0" applyFill="1" applyBorder="1"/>
    <xf numFmtId="0" fontId="3" fillId="7" borderId="20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10" borderId="0" xfId="0" applyFill="1"/>
    <xf numFmtId="0" fontId="1" fillId="10" borderId="0" xfId="0" applyFont="1" applyFill="1"/>
    <xf numFmtId="0" fontId="2" fillId="10" borderId="0" xfId="0" applyFont="1" applyFill="1"/>
    <xf numFmtId="0" fontId="4" fillId="10" borderId="0" xfId="0" applyFont="1" applyFill="1"/>
    <xf numFmtId="0" fontId="1" fillId="11" borderId="17" xfId="0" applyFont="1" applyFill="1" applyBorder="1"/>
    <xf numFmtId="0" fontId="0" fillId="11" borderId="16" xfId="0" applyFill="1" applyBorder="1"/>
    <xf numFmtId="0" fontId="0" fillId="11" borderId="17" xfId="0" applyFill="1" applyBorder="1"/>
    <xf numFmtId="0" fontId="0" fillId="11" borderId="18" xfId="0" applyFill="1" applyBorder="1"/>
    <xf numFmtId="0" fontId="0" fillId="12" borderId="16" xfId="0" applyFill="1" applyBorder="1"/>
    <xf numFmtId="0" fontId="0" fillId="12" borderId="17" xfId="0" applyFill="1" applyBorder="1"/>
    <xf numFmtId="0" fontId="1" fillId="12" borderId="17" xfId="0" applyFont="1" applyFill="1" applyBorder="1"/>
    <xf numFmtId="0" fontId="0" fillId="12" borderId="18" xfId="0" applyFill="1" applyBorder="1"/>
    <xf numFmtId="0" fontId="0" fillId="11" borderId="1" xfId="0" applyFill="1" applyBorder="1"/>
    <xf numFmtId="0" fontId="0" fillId="11" borderId="5" xfId="0" applyFill="1" applyBorder="1"/>
    <xf numFmtId="0" fontId="1" fillId="11" borderId="5" xfId="0" applyFont="1" applyFill="1" applyBorder="1"/>
    <xf numFmtId="0" fontId="0" fillId="11" borderId="6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1" xfId="0" applyBorder="1"/>
    <xf numFmtId="0" fontId="0" fillId="13" borderId="14" xfId="0" applyFill="1" applyBorder="1"/>
    <xf numFmtId="0" fontId="0" fillId="14" borderId="12" xfId="0" applyFill="1" applyBorder="1"/>
    <xf numFmtId="0" fontId="0" fillId="15" borderId="2" xfId="0" applyFill="1" applyBorder="1"/>
    <xf numFmtId="0" fontId="0" fillId="15" borderId="3" xfId="0" applyFill="1" applyBorder="1"/>
    <xf numFmtId="0" fontId="0" fillId="15" borderId="4" xfId="0" applyFill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8" borderId="25" xfId="0" applyFill="1" applyBorder="1"/>
    <xf numFmtId="0" fontId="0" fillId="0" borderId="25" xfId="0" applyBorder="1"/>
    <xf numFmtId="0" fontId="0" fillId="0" borderId="26" xfId="0" applyBorder="1"/>
    <xf numFmtId="0" fontId="0" fillId="8" borderId="0" xfId="0" applyFill="1"/>
    <xf numFmtId="0" fontId="0" fillId="0" borderId="0" xfId="0"/>
    <xf numFmtId="0" fontId="1" fillId="2" borderId="17" xfId="0" applyFont="1" applyFill="1" applyBorder="1"/>
    <xf numFmtId="0" fontId="1" fillId="16" borderId="5" xfId="0" applyFont="1" applyFill="1" applyBorder="1"/>
    <xf numFmtId="0" fontId="0" fillId="0" borderId="27" xfId="0" applyBorder="1"/>
    <xf numFmtId="0" fontId="1" fillId="12" borderId="27" xfId="0" applyFont="1" applyFill="1" applyBorder="1"/>
    <xf numFmtId="0" fontId="1" fillId="11" borderId="27" xfId="0" applyFont="1" applyFill="1" applyBorder="1"/>
    <xf numFmtId="0" fontId="0" fillId="12" borderId="27" xfId="0" applyFill="1" applyBorder="1"/>
    <xf numFmtId="0" fontId="0" fillId="11" borderId="27" xfId="0" applyFill="1" applyBorder="1"/>
    <xf numFmtId="0" fontId="1" fillId="0" borderId="27" xfId="0" applyFont="1" applyBorder="1"/>
    <xf numFmtId="0" fontId="1" fillId="0" borderId="0" xfId="0" applyFont="1"/>
    <xf numFmtId="0" fontId="0" fillId="9" borderId="9" xfId="0" applyFont="1" applyFill="1" applyBorder="1"/>
    <xf numFmtId="0" fontId="0" fillId="0" borderId="9" xfId="0" applyFont="1" applyBorder="1"/>
    <xf numFmtId="0" fontId="0" fillId="14" borderId="9" xfId="0" applyFont="1" applyFill="1" applyBorder="1"/>
    <xf numFmtId="0" fontId="0" fillId="0" borderId="0" xfId="0" applyFill="1" applyBorder="1"/>
    <xf numFmtId="0" fontId="0" fillId="0" borderId="0" xfId="0" applyFont="1" applyFill="1" applyBorder="1"/>
    <xf numFmtId="0" fontId="3" fillId="0" borderId="0" xfId="0" applyFont="1" applyFill="1" applyBorder="1"/>
    <xf numFmtId="0" fontId="0" fillId="17" borderId="0" xfId="0" applyFill="1" applyBorder="1"/>
    <xf numFmtId="0" fontId="8" fillId="0" borderId="0" xfId="0" applyFont="1" applyFill="1" applyBorder="1"/>
    <xf numFmtId="0" fontId="0" fillId="0" borderId="17" xfId="0" applyFill="1" applyBorder="1"/>
    <xf numFmtId="0" fontId="1" fillId="0" borderId="17" xfId="0" applyFont="1" applyFill="1" applyBorder="1"/>
    <xf numFmtId="0" fontId="0" fillId="0" borderId="18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28" xfId="0" applyFill="1" applyBorder="1"/>
    <xf numFmtId="0" fontId="1" fillId="0" borderId="29" xfId="0" applyFont="1" applyFill="1" applyBorder="1"/>
    <xf numFmtId="0" fontId="1" fillId="0" borderId="30" xfId="0" applyFont="1" applyFill="1" applyBorder="1"/>
    <xf numFmtId="0" fontId="1" fillId="0" borderId="31" xfId="0" applyFont="1" applyFill="1" applyBorder="1"/>
    <xf numFmtId="0" fontId="1" fillId="0" borderId="32" xfId="0" applyFont="1" applyFill="1" applyBorder="1"/>
    <xf numFmtId="0" fontId="1" fillId="0" borderId="33" xfId="0" applyFont="1" applyFill="1" applyBorder="1"/>
    <xf numFmtId="0" fontId="1" fillId="12" borderId="29" xfId="0" applyFont="1" applyFill="1" applyBorder="1"/>
    <xf numFmtId="0" fontId="0" fillId="0" borderId="29" xfId="0" applyFill="1" applyBorder="1"/>
    <xf numFmtId="0" fontId="0" fillId="0" borderId="31" xfId="0" applyFill="1" applyBorder="1"/>
    <xf numFmtId="0" fontId="0" fillId="0" borderId="32" xfId="0" applyFill="1" applyBorder="1"/>
    <xf numFmtId="0" fontId="0" fillId="0" borderId="33" xfId="0" applyFill="1" applyBorder="1"/>
    <xf numFmtId="0" fontId="0" fillId="12" borderId="33" xfId="0" applyFill="1" applyBorder="1"/>
    <xf numFmtId="0" fontId="0" fillId="11" borderId="33" xfId="0" applyFill="1" applyBorder="1"/>
    <xf numFmtId="0" fontId="0" fillId="12" borderId="29" xfId="0" applyFill="1" applyBorder="1"/>
    <xf numFmtId="0" fontId="0" fillId="12" borderId="5" xfId="0" applyFill="1" applyBorder="1"/>
    <xf numFmtId="0" fontId="0" fillId="12" borderId="1" xfId="0" applyFill="1" applyBorder="1"/>
    <xf numFmtId="0" fontId="0" fillId="0" borderId="0" xfId="0" applyFill="1"/>
    <xf numFmtId="0" fontId="1" fillId="0" borderId="0" xfId="0" applyFont="1" applyFill="1" applyBorder="1"/>
    <xf numFmtId="0" fontId="1" fillId="18" borderId="17" xfId="0" applyFont="1" applyFill="1" applyBorder="1"/>
    <xf numFmtId="0" fontId="0" fillId="18" borderId="17" xfId="0" applyFill="1" applyBorder="1"/>
    <xf numFmtId="0" fontId="0" fillId="4" borderId="0" xfId="0" applyFill="1" applyBorder="1"/>
    <xf numFmtId="0" fontId="0" fillId="0" borderId="0" xfId="0" applyBorder="1"/>
  </cellXfs>
  <cellStyles count="1">
    <cellStyle name="Normal" xfId="0" builtinId="0"/>
  </cellStyles>
  <dxfs count="5">
    <dxf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outline="0">
        <top style="thin">
          <color theme="7" tint="0.39997558519241921"/>
        </top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736023</xdr:colOff>
      <xdr:row>0</xdr:row>
      <xdr:rowOff>2375292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49000" cy="2375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666750</xdr:colOff>
      <xdr:row>0</xdr:row>
      <xdr:rowOff>2360400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79727" cy="2360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2026444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3827" cy="3133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3827" cy="31339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3827" cy="31339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199761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3827" cy="31339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3827" cy="313390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2026444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2026444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2010756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3827" cy="313390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3827" cy="313390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2010756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45656" cy="313390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2005662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2026444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2005662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40562" cy="313390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2005662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40562" cy="313390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3827" cy="3133906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3827" cy="3133906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1998927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2005662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61344" cy="3133906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2024063</xdr:colOff>
      <xdr:row>0</xdr:row>
      <xdr:rowOff>3133906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8963" cy="31339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E2:E22" totalsRowShown="0" headerRowDxfId="4" tableBorderDxfId="3">
  <autoFilter ref="E2:E22"/>
  <tableColumns count="1">
    <tableColumn id="1" name="Protocolo de Imagene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0" displayName="T0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.xml><?xml version="1.0" encoding="utf-8"?>
<table xmlns="http://schemas.openxmlformats.org/spreadsheetml/2006/main" id="45" name="T1__46" displayName="T1__46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.xml><?xml version="1.0" encoding="utf-8"?>
<table xmlns="http://schemas.openxmlformats.org/spreadsheetml/2006/main" id="46" name="T2__47" displayName="T2__47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.xml><?xml version="1.0" encoding="utf-8"?>
<table xmlns="http://schemas.openxmlformats.org/spreadsheetml/2006/main" id="60" name="T2__476061" displayName="T2__476061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6.xml><?xml version="1.0" encoding="utf-8"?>
<table xmlns="http://schemas.openxmlformats.org/spreadsheetml/2006/main" id="59" name="T2__4760" displayName="T2__4760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7.xml><?xml version="1.0" encoding="utf-8"?>
<table xmlns="http://schemas.openxmlformats.org/spreadsheetml/2006/main" id="34" name="T2__47606135" displayName="T2__47606135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8.xml><?xml version="1.0" encoding="utf-8"?>
<table xmlns="http://schemas.openxmlformats.org/spreadsheetml/2006/main" id="35" name="T2__476036" displayName="T2__476036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9.xml><?xml version="1.0" encoding="utf-8"?>
<table xmlns="http://schemas.openxmlformats.org/spreadsheetml/2006/main" id="3" name="T1" displayName="T1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10.xml><?xml version="1.0" encoding="utf-8"?>
<table xmlns="http://schemas.openxmlformats.org/spreadsheetml/2006/main" id="4" name="T2" displayName="T2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11.xml><?xml version="1.0" encoding="utf-8"?>
<table xmlns="http://schemas.openxmlformats.org/spreadsheetml/2006/main" id="5" name="T3" displayName="T3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12.xml><?xml version="1.0" encoding="utf-8"?>
<table xmlns="http://schemas.openxmlformats.org/spreadsheetml/2006/main" id="6" name="T4" displayName="T4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13.xml><?xml version="1.0" encoding="utf-8"?>
<table xmlns="http://schemas.openxmlformats.org/spreadsheetml/2006/main" id="7" name="T5" displayName="T5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14.xml><?xml version="1.0" encoding="utf-8"?>
<table xmlns="http://schemas.openxmlformats.org/spreadsheetml/2006/main" id="8" name="T6" displayName="T6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15.xml><?xml version="1.0" encoding="utf-8"?>
<table xmlns="http://schemas.openxmlformats.org/spreadsheetml/2006/main" id="9" name="T7" displayName="T7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16.xml><?xml version="1.0" encoding="utf-8"?>
<table xmlns="http://schemas.openxmlformats.org/spreadsheetml/2006/main" id="10" name="T8" displayName="T8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17.xml><?xml version="1.0" encoding="utf-8"?>
<table xmlns="http://schemas.openxmlformats.org/spreadsheetml/2006/main" id="51" name="T7__4952" displayName="T7__4952" ref="G4:G5">
  <autoFilter ref="G4:G5"/>
  <tableColumns count="1">
    <tableColumn id="7" name="Protocolo Imágenes" dataDxfId="2"/>
  </tableColumns>
  <tableStyleInfo name="TableStyleLight14" showFirstColumn="0" showLastColumn="0" showRowStripes="1" showColumnStripes="1"/>
</table>
</file>

<file path=xl/tables/table18.xml><?xml version="1.0" encoding="utf-8"?>
<table xmlns="http://schemas.openxmlformats.org/spreadsheetml/2006/main" id="48" name="T7__49" displayName="T7__49" ref="G4:G5">
  <autoFilter ref="G4:G5"/>
  <tableColumns count="1">
    <tableColumn id="7" name="Protocolo Imágenes" dataDxfId="1"/>
  </tableColumns>
  <tableStyleInfo name="TableStyleLight14" showFirstColumn="0" showLastColumn="0" showRowStripes="1" showColumnStripes="1"/>
</table>
</file>

<file path=xl/tables/table19.xml><?xml version="1.0" encoding="utf-8"?>
<table xmlns="http://schemas.openxmlformats.org/spreadsheetml/2006/main" id="49" name="T8__50" displayName="T8__50" ref="G4:G5">
  <autoFilter ref="G4:G5"/>
  <tableColumns count="1">
    <tableColumn id="7" name="Protocolo Imágenes" dataDxfId="0"/>
  </tableColumns>
  <tableStyleInfo name="TableStyleLight14" showFirstColumn="0" showLastColumn="0" showRowStripes="1" showColumnStripes="1"/>
</table>
</file>

<file path=xl/tables/table20.xml><?xml version="1.0" encoding="utf-8"?>
<table xmlns="http://schemas.openxmlformats.org/spreadsheetml/2006/main" id="11" name="T9" displayName="T9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21.xml><?xml version="1.0" encoding="utf-8"?>
<table xmlns="http://schemas.openxmlformats.org/spreadsheetml/2006/main" id="12" name="T10" displayName="T10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22.xml><?xml version="1.0" encoding="utf-8"?>
<table xmlns="http://schemas.openxmlformats.org/spreadsheetml/2006/main" id="13" name="T11" displayName="T11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23.xml><?xml version="1.0" encoding="utf-8"?>
<table xmlns="http://schemas.openxmlformats.org/spreadsheetml/2006/main" id="14" name="T12" displayName="T12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24.xml><?xml version="1.0" encoding="utf-8"?>
<table xmlns="http://schemas.openxmlformats.org/spreadsheetml/2006/main" id="15" name="T13" displayName="T13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25.xml><?xml version="1.0" encoding="utf-8"?>
<table xmlns="http://schemas.openxmlformats.org/spreadsheetml/2006/main" id="16" name="T14" displayName="T14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26.xml><?xml version="1.0" encoding="utf-8"?>
<table xmlns="http://schemas.openxmlformats.org/spreadsheetml/2006/main" id="17" name="T15" displayName="T15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27.xml><?xml version="1.0" encoding="utf-8"?>
<table xmlns="http://schemas.openxmlformats.org/spreadsheetml/2006/main" id="18" name="T16" displayName="T16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28.xml><?xml version="1.0" encoding="utf-8"?>
<table xmlns="http://schemas.openxmlformats.org/spreadsheetml/2006/main" id="22" name="T11_23" displayName="T11_23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29.xml><?xml version="1.0" encoding="utf-8"?>
<table xmlns="http://schemas.openxmlformats.org/spreadsheetml/2006/main" id="23" name="T11_2324" displayName="T11_2324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0.xml><?xml version="1.0" encoding="utf-8"?>
<table xmlns="http://schemas.openxmlformats.org/spreadsheetml/2006/main" id="19" name="T23_20" displayName="T23_20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1.xml><?xml version="1.0" encoding="utf-8"?>
<table xmlns="http://schemas.openxmlformats.org/spreadsheetml/2006/main" id="57" name="T23_58" displayName="T23_58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2.xml><?xml version="1.0" encoding="utf-8"?>
<table xmlns="http://schemas.openxmlformats.org/spreadsheetml/2006/main" id="25" name="T23" displayName="T23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3.xml><?xml version="1.0" encoding="utf-8"?>
<table xmlns="http://schemas.openxmlformats.org/spreadsheetml/2006/main" id="62" name="T23_63" displayName="T23_63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4.xml><?xml version="1.0" encoding="utf-8"?>
<table xmlns="http://schemas.openxmlformats.org/spreadsheetml/2006/main" id="26" name="T24" displayName="T24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5.xml><?xml version="1.0" encoding="utf-8"?>
<table xmlns="http://schemas.openxmlformats.org/spreadsheetml/2006/main" id="27" name="T25" displayName="T25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6.xml><?xml version="1.0" encoding="utf-8"?>
<table xmlns="http://schemas.openxmlformats.org/spreadsheetml/2006/main" id="63" name="T23_6364" displayName="T23_6364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7.xml><?xml version="1.0" encoding="utf-8"?>
<table xmlns="http://schemas.openxmlformats.org/spreadsheetml/2006/main" id="50" name="T26_51" displayName="T26_51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8.xml><?xml version="1.0" encoding="utf-8"?>
<table xmlns="http://schemas.openxmlformats.org/spreadsheetml/2006/main" id="28" name="T26" displayName="T26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39.xml><?xml version="1.0" encoding="utf-8"?>
<table xmlns="http://schemas.openxmlformats.org/spreadsheetml/2006/main" id="21" name="T24_22" displayName="T24_22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0.xml><?xml version="1.0" encoding="utf-8"?>
<table xmlns="http://schemas.openxmlformats.org/spreadsheetml/2006/main" id="29" name="T27" displayName="T27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1.xml><?xml version="1.0" encoding="utf-8"?>
<table xmlns="http://schemas.openxmlformats.org/spreadsheetml/2006/main" id="54" name="T27_55" displayName="T27_55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2.xml><?xml version="1.0" encoding="utf-8"?>
<table xmlns="http://schemas.openxmlformats.org/spreadsheetml/2006/main" id="56" name="T27_555657" displayName="T27_555657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3.xml><?xml version="1.0" encoding="utf-8"?>
<table xmlns="http://schemas.openxmlformats.org/spreadsheetml/2006/main" id="55" name="T27_5556" displayName="T27_5556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4.xml><?xml version="1.0" encoding="utf-8"?>
<table xmlns="http://schemas.openxmlformats.org/spreadsheetml/2006/main" id="30" name="T28" displayName="T28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5.xml><?xml version="1.0" encoding="utf-8"?>
<table xmlns="http://schemas.openxmlformats.org/spreadsheetml/2006/main" id="31" name="T29" displayName="T29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6.xml><?xml version="1.0" encoding="utf-8"?>
<table xmlns="http://schemas.openxmlformats.org/spreadsheetml/2006/main" id="32" name="T30" displayName="T30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7.xml><?xml version="1.0" encoding="utf-8"?>
<table xmlns="http://schemas.openxmlformats.org/spreadsheetml/2006/main" id="58" name="T30_59" displayName="T30_59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8.xml><?xml version="1.0" encoding="utf-8"?>
<table xmlns="http://schemas.openxmlformats.org/spreadsheetml/2006/main" id="33" name="T31" displayName="T31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49.xml><?xml version="1.0" encoding="utf-8"?>
<table xmlns="http://schemas.openxmlformats.org/spreadsheetml/2006/main" id="36" name="T34" displayName="T34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0.xml><?xml version="1.0" encoding="utf-8"?>
<table xmlns="http://schemas.openxmlformats.org/spreadsheetml/2006/main" id="47" name="T33_48" displayName="T33_48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1.xml><?xml version="1.0" encoding="utf-8"?>
<table xmlns="http://schemas.openxmlformats.org/spreadsheetml/2006/main" id="52" name="T33_4853" displayName="T33_4853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2.xml><?xml version="1.0" encoding="utf-8"?>
<table xmlns="http://schemas.openxmlformats.org/spreadsheetml/2006/main" id="37" name="T35" displayName="T35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3.xml><?xml version="1.0" encoding="utf-8"?>
<table xmlns="http://schemas.openxmlformats.org/spreadsheetml/2006/main" id="38" name="T36" displayName="T36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4.xml><?xml version="1.0" encoding="utf-8"?>
<table xmlns="http://schemas.openxmlformats.org/spreadsheetml/2006/main" id="39" name="T37" displayName="T37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5.xml><?xml version="1.0" encoding="utf-8"?>
<table xmlns="http://schemas.openxmlformats.org/spreadsheetml/2006/main" id="53" name="T37_54" displayName="T37_54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6.xml><?xml version="1.0" encoding="utf-8"?>
<table xmlns="http://schemas.openxmlformats.org/spreadsheetml/2006/main" id="64" name="T38_65" displayName="T38_65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7.xml><?xml version="1.0" encoding="utf-8"?>
<table xmlns="http://schemas.openxmlformats.org/spreadsheetml/2006/main" id="40" name="T38" displayName="T38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8.xml><?xml version="1.0" encoding="utf-8"?>
<table xmlns="http://schemas.openxmlformats.org/spreadsheetml/2006/main" id="20" name="T38_21" displayName="T38_21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59.xml><?xml version="1.0" encoding="utf-8"?>
<table xmlns="http://schemas.openxmlformats.org/spreadsheetml/2006/main" id="24" name="T38_2125" displayName="T38_2125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60.xml><?xml version="1.0" encoding="utf-8"?>
<table xmlns="http://schemas.openxmlformats.org/spreadsheetml/2006/main" id="61" name="T38_62" displayName="T38_62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61.xml><?xml version="1.0" encoding="utf-8"?>
<table xmlns="http://schemas.openxmlformats.org/spreadsheetml/2006/main" id="41" name="T39" displayName="T39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62.xml><?xml version="1.0" encoding="utf-8"?>
<table xmlns="http://schemas.openxmlformats.org/spreadsheetml/2006/main" id="42" name="T40" displayName="T40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63.xml><?xml version="1.0" encoding="utf-8"?>
<table xmlns="http://schemas.openxmlformats.org/spreadsheetml/2006/main" id="43" name="T41" displayName="T41_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ables/table64.xml><?xml version="1.0" encoding="utf-8"?>
<table xmlns="http://schemas.openxmlformats.org/spreadsheetml/2006/main" id="44" name="T41_45" displayName="T41_45" ref="G4:G5">
  <autoFilter ref="G4:G5"/>
  <tableColumns count="1">
    <tableColumn id="7" name="Protocolo Imágenes"/>
  </tableColumns>
  <tableStyleInfo name="TableStyleLight14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zoomScale="110" zoomScaleNormal="110" workbookViewId="0">
      <selection activeCell="C24" sqref="C24"/>
    </sheetView>
  </sheetViews>
  <sheetFormatPr defaultColWidth="11.42578125" defaultRowHeight="15" x14ac:dyDescent="0.25"/>
  <cols>
    <col min="1" max="1" width="25.5703125" style="72" customWidth="1"/>
    <col min="2" max="3" width="10.7109375" style="72" customWidth="1"/>
    <col min="4" max="4" width="5" style="72" customWidth="1"/>
    <col min="5" max="5" width="91" style="72" customWidth="1"/>
    <col min="6" max="16384" width="11.42578125" style="72"/>
  </cols>
  <sheetData>
    <row r="1" spans="1:12" ht="189" customHeight="1" x14ac:dyDescent="0.25"/>
    <row r="2" spans="1:12" x14ac:dyDescent="0.25">
      <c r="A2" s="87"/>
      <c r="B2" s="87"/>
      <c r="C2" s="87"/>
      <c r="D2" s="85"/>
      <c r="E2" s="87"/>
      <c r="F2" s="85"/>
    </row>
    <row r="3" spans="1:12" x14ac:dyDescent="0.25">
      <c r="A3" s="85"/>
      <c r="B3" s="85"/>
      <c r="C3" s="85"/>
      <c r="D3" s="85"/>
      <c r="E3" s="85"/>
      <c r="F3" s="85"/>
    </row>
    <row r="4" spans="1:12" x14ac:dyDescent="0.25">
      <c r="A4" s="85"/>
      <c r="B4" s="85"/>
      <c r="C4" s="85"/>
      <c r="D4" s="85"/>
      <c r="E4" s="85"/>
      <c r="F4" s="85"/>
    </row>
    <row r="5" spans="1:12" x14ac:dyDescent="0.25">
      <c r="A5" s="85"/>
      <c r="B5" s="85"/>
      <c r="C5" s="85"/>
      <c r="D5" s="85"/>
      <c r="E5" s="85"/>
      <c r="F5" s="85"/>
    </row>
    <row r="6" spans="1:12" x14ac:dyDescent="0.25">
      <c r="A6" s="85"/>
      <c r="B6" s="85"/>
      <c r="C6" s="85"/>
      <c r="D6" s="85"/>
      <c r="E6" s="85"/>
      <c r="F6" s="85"/>
    </row>
    <row r="7" spans="1:12" x14ac:dyDescent="0.25">
      <c r="A7" s="85"/>
      <c r="B7" s="85"/>
      <c r="C7" s="85"/>
      <c r="D7" s="85"/>
      <c r="E7" s="88" t="s">
        <v>135</v>
      </c>
      <c r="F7" s="85"/>
    </row>
    <row r="8" spans="1:12" x14ac:dyDescent="0.25">
      <c r="A8" s="85"/>
      <c r="B8" s="85"/>
      <c r="C8" s="85"/>
      <c r="D8" s="85"/>
      <c r="E8" s="85"/>
      <c r="F8" s="85"/>
    </row>
    <row r="9" spans="1:12" x14ac:dyDescent="0.2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</row>
    <row r="10" spans="1:12" x14ac:dyDescent="0.25">
      <c r="A10" s="85"/>
      <c r="B10" s="85"/>
      <c r="C10" s="85"/>
      <c r="D10" s="85"/>
      <c r="E10" s="85"/>
      <c r="F10" s="85"/>
      <c r="G10" s="86"/>
      <c r="H10" s="85"/>
      <c r="I10" s="85"/>
      <c r="J10" s="85"/>
      <c r="K10" s="85"/>
      <c r="L10" s="85"/>
    </row>
    <row r="11" spans="1:12" x14ac:dyDescent="0.25">
      <c r="A11" s="85"/>
      <c r="B11" s="85"/>
      <c r="C11" s="85"/>
      <c r="D11" s="85"/>
      <c r="E11" s="85"/>
      <c r="F11" s="85"/>
      <c r="G11" s="86"/>
      <c r="H11" s="85"/>
      <c r="I11" s="85"/>
      <c r="J11" s="85"/>
      <c r="K11" s="85"/>
      <c r="L11" s="85"/>
    </row>
    <row r="12" spans="1:12" x14ac:dyDescent="0.25">
      <c r="A12" s="85"/>
      <c r="B12" s="85"/>
      <c r="C12" s="85"/>
      <c r="D12" s="85"/>
      <c r="E12" s="85"/>
      <c r="F12" s="85"/>
      <c r="G12" s="86"/>
      <c r="H12" s="85"/>
      <c r="I12" s="85"/>
      <c r="J12" s="85"/>
      <c r="K12" s="85"/>
      <c r="L12" s="85"/>
    </row>
    <row r="13" spans="1:12" x14ac:dyDescent="0.25">
      <c r="A13" s="85"/>
      <c r="B13" s="85"/>
      <c r="C13" s="85"/>
      <c r="D13" s="85"/>
      <c r="E13" s="86"/>
      <c r="F13" s="85"/>
      <c r="G13" s="86"/>
      <c r="H13" s="85"/>
      <c r="I13" s="85"/>
      <c r="J13" s="85"/>
      <c r="K13" s="85"/>
      <c r="L13" s="85"/>
    </row>
    <row r="14" spans="1:12" x14ac:dyDescent="0.25">
      <c r="A14" s="85"/>
      <c r="B14" s="85"/>
      <c r="C14" s="85"/>
      <c r="D14" s="85"/>
      <c r="E14" s="86"/>
      <c r="F14" s="85"/>
      <c r="G14" s="86"/>
      <c r="H14" s="85"/>
      <c r="I14" s="85"/>
      <c r="J14" s="85"/>
      <c r="K14" s="85"/>
      <c r="L14" s="85"/>
    </row>
    <row r="15" spans="1:12" x14ac:dyDescent="0.25">
      <c r="A15" s="85"/>
      <c r="B15" s="85"/>
      <c r="C15" s="85"/>
      <c r="D15" s="85"/>
      <c r="E15" s="89"/>
      <c r="F15" s="85"/>
      <c r="G15" s="86"/>
      <c r="H15" s="85"/>
      <c r="I15" s="85"/>
      <c r="J15" s="85"/>
      <c r="K15" s="85"/>
      <c r="L15" s="85"/>
    </row>
    <row r="16" spans="1:12" x14ac:dyDescent="0.25">
      <c r="A16" s="85"/>
      <c r="B16" s="85"/>
      <c r="C16" s="85"/>
      <c r="D16" s="85"/>
      <c r="E16" s="86"/>
      <c r="F16" s="85"/>
      <c r="G16" s="85"/>
      <c r="H16" s="85"/>
      <c r="I16" s="85"/>
      <c r="J16" s="85"/>
      <c r="K16" s="85"/>
      <c r="L16" s="85"/>
    </row>
    <row r="17" spans="1:12" x14ac:dyDescent="0.25">
      <c r="A17" s="85"/>
      <c r="B17" s="85"/>
      <c r="C17" s="85"/>
      <c r="D17" s="85"/>
      <c r="E17" s="86"/>
      <c r="F17" s="85"/>
      <c r="G17" s="85"/>
      <c r="H17" s="85"/>
      <c r="I17" s="85"/>
      <c r="J17" s="85"/>
      <c r="K17" s="85"/>
      <c r="L17" s="85"/>
    </row>
    <row r="18" spans="1:12" x14ac:dyDescent="0.25">
      <c r="A18" s="85"/>
      <c r="B18" s="85"/>
      <c r="C18" s="85"/>
      <c r="D18" s="85"/>
      <c r="E18" s="86"/>
      <c r="F18" s="85"/>
    </row>
    <row r="19" spans="1:12" x14ac:dyDescent="0.25">
      <c r="A19" s="85"/>
      <c r="B19" s="85"/>
      <c r="C19" s="85"/>
      <c r="D19" s="85"/>
      <c r="E19" s="85"/>
      <c r="F19" s="85"/>
    </row>
    <row r="20" spans="1:12" x14ac:dyDescent="0.25">
      <c r="A20" s="85"/>
      <c r="B20" s="85"/>
      <c r="C20" s="85"/>
      <c r="D20" s="85"/>
      <c r="E20" s="85"/>
      <c r="F20" s="85"/>
    </row>
    <row r="21" spans="1:12" x14ac:dyDescent="0.25">
      <c r="A21" s="85"/>
      <c r="B21" s="85"/>
      <c r="C21" s="85"/>
      <c r="D21" s="85"/>
      <c r="E21" s="85"/>
      <c r="F21" s="85"/>
    </row>
    <row r="22" spans="1:12" x14ac:dyDescent="0.25">
      <c r="A22" s="85"/>
      <c r="B22" s="85"/>
      <c r="C22" s="85"/>
      <c r="D22" s="85"/>
      <c r="E22" s="85"/>
      <c r="F22" s="85"/>
    </row>
    <row r="23" spans="1:12" x14ac:dyDescent="0.25">
      <c r="A23" s="85"/>
      <c r="B23" s="85"/>
      <c r="C23" s="85"/>
      <c r="D23" s="85"/>
      <c r="E23" s="85"/>
      <c r="F23" s="85"/>
    </row>
    <row r="24" spans="1:12" x14ac:dyDescent="0.25">
      <c r="A24" s="85"/>
      <c r="B24" s="85"/>
      <c r="C24" s="85"/>
      <c r="D24" s="85"/>
      <c r="E24" s="85"/>
      <c r="F24" s="8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="110" zoomScaleNormal="110" workbookViewId="0">
      <selection activeCell="A5" sqref="A5"/>
    </sheetView>
  </sheetViews>
  <sheetFormatPr defaultColWidth="11.42578125" defaultRowHeight="15" x14ac:dyDescent="0.25"/>
  <cols>
    <col min="1" max="1" width="25.5703125" style="72" customWidth="1"/>
    <col min="2" max="3" width="10.7109375" style="72" customWidth="1"/>
    <col min="4" max="4" width="5" style="72" customWidth="1"/>
    <col min="5" max="5" width="91" style="72" customWidth="1"/>
  </cols>
  <sheetData>
    <row r="1" spans="1:12" ht="188.25" customHeight="1" x14ac:dyDescent="0.25"/>
    <row r="2" spans="1:12" x14ac:dyDescent="0.25">
      <c r="A2" s="15" t="s">
        <v>0</v>
      </c>
      <c r="B2" s="16" t="s">
        <v>1</v>
      </c>
      <c r="C2" s="16" t="s">
        <v>1</v>
      </c>
      <c r="E2" s="33" t="s">
        <v>2</v>
      </c>
    </row>
    <row r="3" spans="1:12" x14ac:dyDescent="0.25">
      <c r="A3" s="17" t="s">
        <v>3</v>
      </c>
      <c r="B3" s="68" t="s">
        <v>4</v>
      </c>
      <c r="C3" s="18" t="s">
        <v>5</v>
      </c>
      <c r="E3" s="22" t="s">
        <v>127</v>
      </c>
    </row>
    <row r="4" spans="1:12" x14ac:dyDescent="0.25">
      <c r="A4" s="19" t="s">
        <v>7</v>
      </c>
      <c r="B4" s="69" t="s">
        <v>4</v>
      </c>
      <c r="C4" s="20" t="s">
        <v>4</v>
      </c>
      <c r="E4" s="22" t="s">
        <v>159</v>
      </c>
    </row>
    <row r="5" spans="1:12" x14ac:dyDescent="0.25">
      <c r="A5" s="17" t="s">
        <v>8</v>
      </c>
      <c r="B5" s="68" t="s">
        <v>4</v>
      </c>
      <c r="C5" s="18"/>
      <c r="E5" s="58" t="s">
        <v>120</v>
      </c>
    </row>
    <row r="6" spans="1:12" x14ac:dyDescent="0.25">
      <c r="A6" s="19" t="s">
        <v>9</v>
      </c>
      <c r="B6" s="69" t="s">
        <v>4</v>
      </c>
      <c r="C6" s="20"/>
      <c r="E6" s="14" t="s">
        <v>124</v>
      </c>
    </row>
    <row r="7" spans="1:12" x14ac:dyDescent="0.25">
      <c r="A7" s="17" t="s">
        <v>10</v>
      </c>
      <c r="B7" s="68" t="s">
        <v>4</v>
      </c>
      <c r="C7" s="18" t="s">
        <v>11</v>
      </c>
      <c r="E7" s="58" t="s">
        <v>15</v>
      </c>
    </row>
    <row r="8" spans="1:12" x14ac:dyDescent="0.25">
      <c r="A8" s="19" t="s">
        <v>12</v>
      </c>
      <c r="B8" s="69" t="s">
        <v>5</v>
      </c>
      <c r="C8" s="20" t="s">
        <v>4</v>
      </c>
      <c r="E8" s="72" t="s">
        <v>129</v>
      </c>
    </row>
    <row r="9" spans="1:12" x14ac:dyDescent="0.25">
      <c r="A9" s="17" t="s">
        <v>13</v>
      </c>
      <c r="B9" s="68" t="s">
        <v>5</v>
      </c>
      <c r="C9" s="18" t="s">
        <v>4</v>
      </c>
      <c r="E9" s="22" t="s">
        <v>17</v>
      </c>
      <c r="G9" s="85"/>
      <c r="H9" s="85"/>
      <c r="I9" s="85"/>
      <c r="J9" s="85"/>
      <c r="K9" s="85"/>
      <c r="L9" s="85"/>
    </row>
    <row r="10" spans="1:12" x14ac:dyDescent="0.25">
      <c r="A10" s="12" t="s">
        <v>14</v>
      </c>
      <c r="B10" s="70" t="s">
        <v>11</v>
      </c>
      <c r="C10" s="13" t="s">
        <v>4</v>
      </c>
      <c r="E10" s="21" t="s">
        <v>125</v>
      </c>
      <c r="G10" s="86"/>
      <c r="H10" s="85"/>
      <c r="I10" s="85"/>
      <c r="J10" s="85"/>
      <c r="K10" s="85"/>
      <c r="L10" s="85"/>
    </row>
    <row r="11" spans="1:12" x14ac:dyDescent="0.25">
      <c r="A11" s="17" t="s">
        <v>16</v>
      </c>
      <c r="B11" s="71" t="s">
        <v>11</v>
      </c>
      <c r="C11" s="32" t="s">
        <v>4</v>
      </c>
      <c r="E11" s="22" t="s">
        <v>130</v>
      </c>
      <c r="G11" s="86"/>
      <c r="H11" s="85"/>
      <c r="I11" s="85"/>
      <c r="J11" s="85"/>
      <c r="K11" s="85"/>
      <c r="L11" s="85"/>
    </row>
    <row r="12" spans="1:12" x14ac:dyDescent="0.25">
      <c r="A12" s="56"/>
      <c r="E12" s="21" t="s">
        <v>126</v>
      </c>
      <c r="G12" s="86"/>
      <c r="H12" s="85"/>
      <c r="I12" s="85"/>
      <c r="J12" s="85"/>
      <c r="K12" s="85"/>
      <c r="L12" s="85"/>
    </row>
    <row r="13" spans="1:12" x14ac:dyDescent="0.25">
      <c r="A13" s="56"/>
      <c r="E13" s="14" t="s">
        <v>128</v>
      </c>
      <c r="G13" s="86"/>
      <c r="H13" s="85"/>
      <c r="I13" s="85"/>
      <c r="J13" s="85"/>
      <c r="K13" s="85"/>
      <c r="L13" s="85"/>
    </row>
    <row r="14" spans="1:12" x14ac:dyDescent="0.25">
      <c r="E14" s="82" t="s">
        <v>131</v>
      </c>
      <c r="G14" s="86"/>
      <c r="H14" s="85"/>
      <c r="I14" s="85"/>
      <c r="J14" s="85"/>
      <c r="K14" s="85"/>
      <c r="L14" s="85"/>
    </row>
    <row r="15" spans="1:12" x14ac:dyDescent="0.25">
      <c r="E15" s="83" t="s">
        <v>132</v>
      </c>
      <c r="G15" s="86"/>
      <c r="H15" s="85"/>
      <c r="I15" s="85"/>
      <c r="J15" s="85"/>
      <c r="K15" s="85"/>
      <c r="L15" s="85"/>
    </row>
    <row r="16" spans="1:12" x14ac:dyDescent="0.25">
      <c r="E16" s="82" t="s">
        <v>134</v>
      </c>
      <c r="G16" s="85"/>
      <c r="H16" s="85"/>
      <c r="I16" s="85"/>
      <c r="J16" s="85"/>
      <c r="K16" s="85"/>
      <c r="L16" s="85"/>
    </row>
    <row r="17" spans="5:12" x14ac:dyDescent="0.25">
      <c r="E17" s="83" t="s">
        <v>133</v>
      </c>
      <c r="G17" s="85"/>
      <c r="H17" s="85"/>
      <c r="I17" s="85"/>
      <c r="J17" s="85"/>
      <c r="K17" s="85"/>
      <c r="L17" s="85"/>
    </row>
    <row r="18" spans="5:12" x14ac:dyDescent="0.25">
      <c r="E18" s="82" t="s">
        <v>121</v>
      </c>
    </row>
    <row r="19" spans="5:12" x14ac:dyDescent="0.25">
      <c r="E19" s="84" t="s">
        <v>123</v>
      </c>
    </row>
    <row r="20" spans="5:12" x14ac:dyDescent="0.25">
      <c r="E20" s="82" t="s">
        <v>163</v>
      </c>
    </row>
    <row r="21" spans="5:12" x14ac:dyDescent="0.25">
      <c r="E21" s="72" t="s">
        <v>188</v>
      </c>
    </row>
    <row r="22" spans="5:12" x14ac:dyDescent="0.25">
      <c r="E22" s="72" t="s">
        <v>209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4" zoomScale="80" zoomScaleNormal="80" workbookViewId="0">
      <selection activeCell="G5" sqref="G5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19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26</v>
      </c>
      <c r="B5" s="27">
        <v>4005</v>
      </c>
      <c r="C5" s="27">
        <v>267</v>
      </c>
      <c r="D5" s="27">
        <f>'TEMPLATE COPIAR AL FINAL'!$B5/'TEMPLATE COPIAR AL FINAL'!$C5</f>
        <v>15</v>
      </c>
      <c r="E5" s="28">
        <v>1</v>
      </c>
      <c r="H5" s="35"/>
    </row>
    <row r="6" spans="1:9" x14ac:dyDescent="0.25">
      <c r="I6" s="34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9" x14ac:dyDescent="0.25">
      <c r="A8" s="42" t="s">
        <v>33</v>
      </c>
      <c r="B8" s="43" t="s">
        <v>26</v>
      </c>
      <c r="C8" s="73"/>
      <c r="D8" s="43">
        <v>3885</v>
      </c>
      <c r="E8" s="43">
        <v>95</v>
      </c>
      <c r="F8" s="43">
        <v>3805</v>
      </c>
      <c r="G8" s="44">
        <v>95</v>
      </c>
    </row>
    <row r="9" spans="1:9" x14ac:dyDescent="0.25">
      <c r="A9" s="45"/>
      <c r="B9" s="46"/>
      <c r="C9" s="73"/>
      <c r="D9" s="46">
        <v>4800</v>
      </c>
      <c r="E9" s="46">
        <v>35</v>
      </c>
      <c r="F9" s="46"/>
      <c r="G9" s="48"/>
    </row>
    <row r="10" spans="1:9" x14ac:dyDescent="0.25">
      <c r="A10" s="42"/>
      <c r="B10" s="43"/>
      <c r="C10" s="73"/>
      <c r="D10" s="43"/>
      <c r="E10" s="43"/>
      <c r="F10" s="43"/>
      <c r="G10" s="44"/>
    </row>
    <row r="11" spans="1:9" x14ac:dyDescent="0.25">
      <c r="A11" s="45"/>
      <c r="B11" s="46"/>
      <c r="C11" s="73"/>
      <c r="D11" s="46"/>
      <c r="E11" s="46"/>
      <c r="F11" s="46"/>
      <c r="G11" s="48"/>
    </row>
    <row r="12" spans="1:9" x14ac:dyDescent="0.25">
      <c r="A12" s="42"/>
      <c r="B12" s="43"/>
      <c r="C12" s="73"/>
      <c r="D12" s="43"/>
      <c r="E12" s="43"/>
      <c r="F12" s="43"/>
      <c r="G12" s="44"/>
    </row>
    <row r="13" spans="1:9" x14ac:dyDescent="0.25">
      <c r="A13" s="45"/>
      <c r="B13" s="46"/>
      <c r="C13" s="73"/>
      <c r="D13" s="46"/>
      <c r="E13" s="46"/>
      <c r="F13" s="46"/>
      <c r="G13" s="48"/>
    </row>
    <row r="14" spans="1:9" x14ac:dyDescent="0.25">
      <c r="A14" s="42"/>
      <c r="B14" s="43"/>
      <c r="C14" s="73"/>
      <c r="D14" s="43"/>
      <c r="E14" s="43"/>
      <c r="F14" s="43"/>
      <c r="G14" s="44"/>
    </row>
    <row r="15" spans="1:9" x14ac:dyDescent="0.25">
      <c r="A15" s="45"/>
      <c r="B15" s="46"/>
      <c r="C15" s="73"/>
      <c r="D15" s="46"/>
      <c r="E15" s="46"/>
      <c r="F15" s="46"/>
      <c r="G15" s="48"/>
    </row>
    <row r="16" spans="1:9" x14ac:dyDescent="0.25">
      <c r="A16" s="42"/>
      <c r="B16" s="43"/>
      <c r="C16" s="73"/>
      <c r="D16" s="43"/>
      <c r="E16" s="43"/>
      <c r="F16" s="43"/>
      <c r="G16" s="44"/>
    </row>
    <row r="17" spans="1:7" x14ac:dyDescent="0.25">
      <c r="A17" s="45"/>
      <c r="B17" s="46"/>
      <c r="C17" s="73"/>
      <c r="D17" s="46"/>
      <c r="E17" s="46"/>
      <c r="F17" s="46"/>
      <c r="G17" s="48"/>
    </row>
    <row r="18" spans="1:7" x14ac:dyDescent="0.25">
      <c r="A18" s="42"/>
      <c r="B18" s="43"/>
      <c r="C18" s="73"/>
      <c r="D18" s="43"/>
      <c r="E18" s="43"/>
      <c r="F18" s="43"/>
      <c r="G18" s="44"/>
    </row>
    <row r="19" spans="1:7" x14ac:dyDescent="0.25">
      <c r="A19" s="45"/>
      <c r="B19" s="46"/>
      <c r="C19" s="73"/>
      <c r="D19" s="46"/>
      <c r="E19" s="46"/>
      <c r="F19" s="46"/>
      <c r="G19" s="48"/>
    </row>
    <row r="20" spans="1:7" x14ac:dyDescent="0.25">
      <c r="A20" s="42"/>
      <c r="B20" s="43"/>
      <c r="C20" s="73"/>
      <c r="D20" s="43"/>
      <c r="E20" s="43"/>
      <c r="F20" s="43"/>
      <c r="G20" s="44"/>
    </row>
    <row r="21" spans="1:7" x14ac:dyDescent="0.25">
      <c r="A21" s="45"/>
      <c r="B21" s="46"/>
      <c r="C21" s="73"/>
      <c r="D21" s="46"/>
      <c r="E21" s="46"/>
      <c r="F21" s="46"/>
      <c r="G21" s="48"/>
    </row>
    <row r="22" spans="1:7" x14ac:dyDescent="0.25">
      <c r="A22" s="42"/>
      <c r="B22" s="43"/>
      <c r="C22" s="73"/>
      <c r="D22" s="43"/>
      <c r="E22" s="43"/>
      <c r="F22" s="43"/>
      <c r="G22" s="44"/>
    </row>
    <row r="23" spans="1:7" x14ac:dyDescent="0.25">
      <c r="A23" s="45"/>
      <c r="B23" s="46"/>
      <c r="C23" s="73"/>
      <c r="D23" s="46"/>
      <c r="E23" s="46"/>
      <c r="F23" s="46"/>
      <c r="G23" s="48"/>
    </row>
    <row r="24" spans="1:7" x14ac:dyDescent="0.25">
      <c r="A24" s="42"/>
      <c r="B24" s="43"/>
      <c r="C24" s="73"/>
      <c r="D24" s="43"/>
      <c r="E24" s="43"/>
      <c r="F24" s="43"/>
      <c r="G24" s="44"/>
    </row>
    <row r="25" spans="1:7" x14ac:dyDescent="0.25">
      <c r="A25" s="45"/>
      <c r="B25" s="46"/>
      <c r="C25" s="73"/>
      <c r="D25" s="46"/>
      <c r="E25" s="46"/>
      <c r="F25" s="46"/>
      <c r="G25" s="48"/>
    </row>
    <row r="26" spans="1:7" x14ac:dyDescent="0.25">
      <c r="A26" s="42"/>
      <c r="B26" s="43"/>
      <c r="C26" s="73"/>
      <c r="D26" s="43"/>
      <c r="E26" s="43"/>
      <c r="F26" s="43"/>
      <c r="G26" s="44"/>
    </row>
    <row r="27" spans="1:7" x14ac:dyDescent="0.25">
      <c r="A27" s="45"/>
      <c r="B27" s="46"/>
      <c r="C27" s="73"/>
      <c r="D27" s="46"/>
      <c r="E27" s="46"/>
      <c r="F27" s="46"/>
      <c r="G27" s="48"/>
    </row>
    <row r="28" spans="1:7" x14ac:dyDescent="0.25">
      <c r="A28" s="42"/>
      <c r="B28" s="43"/>
      <c r="C28" s="73"/>
      <c r="D28" s="43"/>
      <c r="E28" s="43"/>
      <c r="F28" s="43"/>
      <c r="G28" s="44"/>
    </row>
    <row r="29" spans="1:7" x14ac:dyDescent="0.25">
      <c r="A29" s="45"/>
      <c r="B29" s="46"/>
      <c r="C29" s="73"/>
      <c r="D29" s="46"/>
      <c r="E29" s="46"/>
      <c r="F29" s="46"/>
      <c r="G29" s="48"/>
    </row>
    <row r="30" spans="1:7" x14ac:dyDescent="0.25">
      <c r="A30" s="42"/>
      <c r="B30" s="43"/>
      <c r="C30" s="73"/>
      <c r="D30" s="43"/>
      <c r="E30" s="43"/>
      <c r="F30" s="43"/>
      <c r="G30" s="44"/>
    </row>
    <row r="31" spans="1:7" x14ac:dyDescent="0.25">
      <c r="A31" s="45"/>
      <c r="B31" s="46"/>
      <c r="C31" s="73"/>
      <c r="D31" s="46"/>
      <c r="E31" s="46"/>
      <c r="F31" s="46"/>
      <c r="G31" s="48"/>
    </row>
    <row r="32" spans="1:7" x14ac:dyDescent="0.25">
      <c r="A32" s="42"/>
      <c r="B32" s="43"/>
      <c r="C32" s="73"/>
      <c r="D32" s="43"/>
      <c r="E32" s="43"/>
      <c r="F32" s="43"/>
      <c r="G32" s="44"/>
    </row>
    <row r="33" spans="1:7" x14ac:dyDescent="0.25">
      <c r="A33" s="45"/>
      <c r="B33" s="46"/>
      <c r="C33" s="73"/>
      <c r="D33" s="46"/>
      <c r="E33" s="46"/>
      <c r="F33" s="46"/>
      <c r="G33" s="48"/>
    </row>
    <row r="34" spans="1:7" x14ac:dyDescent="0.25">
      <c r="A34" s="42"/>
      <c r="B34" s="43"/>
      <c r="C34" s="73"/>
      <c r="D34" s="43"/>
      <c r="E34" s="43"/>
      <c r="F34" s="43"/>
      <c r="G34" s="44"/>
    </row>
    <row r="35" spans="1:7" x14ac:dyDescent="0.25">
      <c r="A35" s="45"/>
      <c r="B35" s="46"/>
      <c r="C35" s="73"/>
      <c r="D35" s="46"/>
      <c r="E35" s="46"/>
      <c r="F35" s="46"/>
      <c r="G35" s="48"/>
    </row>
    <row r="36" spans="1:7" x14ac:dyDescent="0.25">
      <c r="A36" s="42"/>
      <c r="B36" s="43"/>
      <c r="C36" s="73"/>
      <c r="D36" s="43"/>
      <c r="E36" s="43"/>
      <c r="F36" s="43"/>
      <c r="G36" s="44"/>
    </row>
    <row r="37" spans="1:7" x14ac:dyDescent="0.25">
      <c r="A37" s="45"/>
      <c r="B37" s="46"/>
      <c r="C37" s="73"/>
      <c r="D37" s="46"/>
      <c r="E37" s="46"/>
      <c r="F37" s="46"/>
      <c r="G37" s="48"/>
    </row>
    <row r="38" spans="1:7" x14ac:dyDescent="0.25">
      <c r="A38" s="42"/>
      <c r="B38" s="43"/>
      <c r="C38" s="73"/>
      <c r="D38" s="43"/>
      <c r="E38" s="43"/>
      <c r="F38" s="43"/>
      <c r="G38" s="44"/>
    </row>
    <row r="39" spans="1:7" x14ac:dyDescent="0.25">
      <c r="A39" s="45"/>
      <c r="B39" s="46"/>
      <c r="C39" s="73"/>
      <c r="D39" s="46"/>
      <c r="E39" s="46"/>
      <c r="F39" s="46"/>
      <c r="G39" s="48"/>
    </row>
    <row r="40" spans="1:7" x14ac:dyDescent="0.25">
      <c r="A40" s="42"/>
      <c r="B40" s="43"/>
      <c r="C40" s="73"/>
      <c r="D40" s="43"/>
      <c r="E40" s="43"/>
      <c r="F40" s="43"/>
      <c r="G40" s="44"/>
    </row>
    <row r="41" spans="1:7" x14ac:dyDescent="0.25">
      <c r="A41" s="45"/>
      <c r="B41" s="46"/>
      <c r="C41" s="73"/>
      <c r="D41" s="46"/>
      <c r="E41" s="46"/>
      <c r="F41" s="46"/>
      <c r="G41" s="48"/>
    </row>
    <row r="42" spans="1:7" x14ac:dyDescent="0.25">
      <c r="A42" s="42"/>
      <c r="B42" s="43"/>
      <c r="C42" s="73"/>
      <c r="D42" s="43"/>
      <c r="E42" s="43"/>
      <c r="F42" s="43"/>
      <c r="G42" s="44"/>
    </row>
    <row r="43" spans="1:7" x14ac:dyDescent="0.25">
      <c r="A43" s="45"/>
      <c r="B43" s="46"/>
      <c r="C43" s="73"/>
      <c r="D43" s="46"/>
      <c r="E43" s="46"/>
      <c r="F43" s="46"/>
      <c r="G43" s="48"/>
    </row>
    <row r="44" spans="1:7" x14ac:dyDescent="0.25">
      <c r="A44" s="42"/>
      <c r="B44" s="43"/>
      <c r="C44" s="73"/>
      <c r="D44" s="43"/>
      <c r="E44" s="43"/>
      <c r="F44" s="43"/>
      <c r="G44" s="44"/>
    </row>
    <row r="45" spans="1:7" x14ac:dyDescent="0.25">
      <c r="D45" s="6"/>
      <c r="E45" s="6"/>
      <c r="F45" s="6"/>
      <c r="G45" s="8"/>
    </row>
    <row r="46" spans="1:7" x14ac:dyDescent="0.25">
      <c r="A46" s="5" t="s">
        <v>34</v>
      </c>
      <c r="B46" s="6"/>
      <c r="C46" s="74"/>
    </row>
  </sheetData>
  <pageMargins left="0.7" right="0.7" top="0.75" bottom="0.75" header="0.3" footer="0.3"/>
  <pageSetup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General!$E$3:$E$18</xm:f>
          </x14:formula1>
          <xm:sqref>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Normal="100" workbookViewId="0">
      <selection activeCell="D9" sqref="D9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136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40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26</v>
      </c>
      <c r="B5" s="27">
        <v>4005</v>
      </c>
      <c r="C5" s="27">
        <v>267</v>
      </c>
      <c r="D5" s="27">
        <f>VMI!$B5/VMI!$C5</f>
        <v>15</v>
      </c>
      <c r="E5" s="28">
        <v>1</v>
      </c>
      <c r="G5" s="72" t="s">
        <v>127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72" t="s">
        <v>33</v>
      </c>
      <c r="B8" s="72" t="s">
        <v>26</v>
      </c>
      <c r="C8" s="81" t="s">
        <v>3</v>
      </c>
      <c r="D8" s="72">
        <v>3885</v>
      </c>
      <c r="E8" s="72">
        <v>95</v>
      </c>
      <c r="F8" s="72">
        <v>3805</v>
      </c>
      <c r="G8" s="72">
        <v>95</v>
      </c>
    </row>
    <row r="9" spans="1:7" x14ac:dyDescent="0.25">
      <c r="C9" s="81" t="s">
        <v>9</v>
      </c>
      <c r="D9" s="72">
        <v>4285</v>
      </c>
    </row>
    <row r="10" spans="1:7" x14ac:dyDescent="0.25">
      <c r="A10" s="72" t="s">
        <v>37</v>
      </c>
      <c r="B10" s="72" t="s">
        <v>38</v>
      </c>
      <c r="C10" s="81" t="s">
        <v>9</v>
      </c>
      <c r="D10" s="72">
        <v>240</v>
      </c>
      <c r="F10" s="72">
        <v>384</v>
      </c>
    </row>
    <row r="11" spans="1:7" x14ac:dyDescent="0.25">
      <c r="C11" s="81" t="s">
        <v>7</v>
      </c>
      <c r="D11" s="72">
        <v>144</v>
      </c>
      <c r="E11" s="72">
        <v>5</v>
      </c>
      <c r="F11" s="72">
        <v>240</v>
      </c>
      <c r="G11" s="72">
        <v>5</v>
      </c>
    </row>
    <row r="12" spans="1:7" x14ac:dyDescent="0.25">
      <c r="B12" s="72" t="s">
        <v>48</v>
      </c>
      <c r="C12" s="81" t="s">
        <v>7</v>
      </c>
      <c r="D12" s="72">
        <v>1200</v>
      </c>
      <c r="E12" s="72">
        <v>15</v>
      </c>
      <c r="F12" s="72">
        <v>1200</v>
      </c>
      <c r="G12" s="72">
        <v>20</v>
      </c>
    </row>
    <row r="13" spans="1:7" x14ac:dyDescent="0.25">
      <c r="C13" s="81" t="s">
        <v>7</v>
      </c>
      <c r="D13" s="72">
        <v>800</v>
      </c>
      <c r="E13" s="72">
        <v>30</v>
      </c>
      <c r="F13" s="72">
        <v>800</v>
      </c>
      <c r="G13" s="72">
        <v>35</v>
      </c>
    </row>
    <row r="14" spans="1:7" x14ac:dyDescent="0.25">
      <c r="C14" s="81" t="s">
        <v>7</v>
      </c>
      <c r="D14" s="72">
        <v>400</v>
      </c>
      <c r="E14" s="72">
        <v>40</v>
      </c>
      <c r="F14" s="72">
        <v>400</v>
      </c>
      <c r="G14" s="72">
        <v>55</v>
      </c>
    </row>
    <row r="15" spans="1:7" x14ac:dyDescent="0.25">
      <c r="B15" s="72" t="s">
        <v>49</v>
      </c>
      <c r="C15" s="81" t="s">
        <v>7</v>
      </c>
      <c r="D15" s="72">
        <v>400</v>
      </c>
      <c r="E15" s="72">
        <v>10</v>
      </c>
    </row>
    <row r="16" spans="1:7" x14ac:dyDescent="0.25">
      <c r="B16" s="72" t="s">
        <v>39</v>
      </c>
      <c r="C16" s="81" t="s">
        <v>7</v>
      </c>
      <c r="D16" s="72">
        <v>1600</v>
      </c>
      <c r="E16" s="72">
        <v>5</v>
      </c>
    </row>
    <row r="17" spans="2:6" x14ac:dyDescent="0.25">
      <c r="C17" s="81" t="s">
        <v>7</v>
      </c>
      <c r="D17" s="72">
        <v>800</v>
      </c>
      <c r="E17" s="72">
        <v>30</v>
      </c>
    </row>
    <row r="18" spans="2:6" x14ac:dyDescent="0.25">
      <c r="C18" s="81" t="s">
        <v>8</v>
      </c>
      <c r="D18" s="72">
        <v>320</v>
      </c>
      <c r="F18" s="72">
        <v>400</v>
      </c>
    </row>
    <row r="19" spans="2:6" x14ac:dyDescent="0.25">
      <c r="B19" s="72" t="s">
        <v>40</v>
      </c>
      <c r="C19" s="81" t="s">
        <v>9</v>
      </c>
      <c r="D19" s="72">
        <v>4285</v>
      </c>
    </row>
    <row r="20" spans="2:6" x14ac:dyDescent="0.25">
      <c r="C20" s="81"/>
    </row>
    <row r="21" spans="2:6" x14ac:dyDescent="0.25">
      <c r="C21" s="81"/>
    </row>
    <row r="22" spans="2:6" x14ac:dyDescent="0.25">
      <c r="C22" s="81"/>
    </row>
    <row r="23" spans="2:6" x14ac:dyDescent="0.25">
      <c r="C23" s="81"/>
    </row>
    <row r="25" spans="2:6" x14ac:dyDescent="0.25">
      <c r="C25" s="81"/>
    </row>
    <row r="26" spans="2:6" x14ac:dyDescent="0.25">
      <c r="C26" s="81"/>
    </row>
    <row r="27" spans="2:6" x14ac:dyDescent="0.25">
      <c r="C27" s="81"/>
    </row>
    <row r="28" spans="2:6" x14ac:dyDescent="0.25">
      <c r="C28" s="81"/>
    </row>
    <row r="29" spans="2:6" x14ac:dyDescent="0.25">
      <c r="C29" s="81"/>
    </row>
    <row r="30" spans="2:6" x14ac:dyDescent="0.25">
      <c r="C30" s="81"/>
    </row>
    <row r="31" spans="2:6" x14ac:dyDescent="0.25">
      <c r="C31" s="81"/>
    </row>
    <row r="32" spans="2:6" x14ac:dyDescent="0.25">
      <c r="C32" s="81"/>
    </row>
    <row r="33" spans="1:3" x14ac:dyDescent="0.25">
      <c r="C33" s="81"/>
    </row>
    <row r="34" spans="1:3" x14ac:dyDescent="0.25">
      <c r="C34" s="81"/>
    </row>
    <row r="35" spans="1:3" x14ac:dyDescent="0.25">
      <c r="C35" s="81"/>
    </row>
    <row r="36" spans="1:3" x14ac:dyDescent="0.25">
      <c r="C36" s="81"/>
    </row>
    <row r="37" spans="1:3" x14ac:dyDescent="0.25">
      <c r="C37" s="81"/>
    </row>
    <row r="38" spans="1:3" x14ac:dyDescent="0.25">
      <c r="C38" s="81"/>
    </row>
    <row r="39" spans="1:3" x14ac:dyDescent="0.25">
      <c r="C39" s="81"/>
    </row>
    <row r="40" spans="1:3" x14ac:dyDescent="0.25">
      <c r="C40" s="81"/>
    </row>
    <row r="41" spans="1:3" x14ac:dyDescent="0.25">
      <c r="C41" s="81"/>
    </row>
    <row r="42" spans="1:3" x14ac:dyDescent="0.25">
      <c r="C42" s="81"/>
    </row>
    <row r="43" spans="1:3" x14ac:dyDescent="0.25">
      <c r="C43" s="81"/>
    </row>
    <row r="44" spans="1:3" x14ac:dyDescent="0.25">
      <c r="C44" s="81"/>
    </row>
    <row r="46" spans="1:3" x14ac:dyDescent="0.25">
      <c r="A46" s="72" t="s">
        <v>41</v>
      </c>
      <c r="C46" s="81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90" zoomScaleNormal="90" workbookViewId="0">
      <selection activeCell="E17" sqref="E17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137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43</v>
      </c>
      <c r="B5" s="27">
        <v>4005</v>
      </c>
      <c r="C5" s="27">
        <v>267</v>
      </c>
      <c r="D5" s="27">
        <f>VMD!$B5/VMD!$C5</f>
        <v>15</v>
      </c>
      <c r="E5" s="28">
        <v>1</v>
      </c>
      <c r="G5" s="72" t="s">
        <v>127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72" t="s">
        <v>33</v>
      </c>
      <c r="B8" s="72" t="s">
        <v>43</v>
      </c>
      <c r="C8" s="81" t="s">
        <v>3</v>
      </c>
      <c r="D8" s="72">
        <v>3885</v>
      </c>
      <c r="E8" s="72">
        <v>95</v>
      </c>
      <c r="F8" s="72">
        <v>3805</v>
      </c>
      <c r="G8" s="72">
        <v>95</v>
      </c>
    </row>
    <row r="9" spans="1:7" x14ac:dyDescent="0.25">
      <c r="C9" s="81" t="s">
        <v>9</v>
      </c>
      <c r="D9" s="72">
        <v>4285</v>
      </c>
    </row>
    <row r="10" spans="1:7" x14ac:dyDescent="0.25">
      <c r="A10" s="72" t="s">
        <v>37</v>
      </c>
      <c r="B10" s="72" t="s">
        <v>51</v>
      </c>
      <c r="C10" s="81" t="s">
        <v>9</v>
      </c>
      <c r="D10" s="72">
        <v>240</v>
      </c>
      <c r="F10" s="72">
        <v>384</v>
      </c>
    </row>
    <row r="11" spans="1:7" x14ac:dyDescent="0.25">
      <c r="C11" s="81" t="s">
        <v>7</v>
      </c>
      <c r="D11" s="72">
        <v>144</v>
      </c>
      <c r="E11" s="72">
        <v>5</v>
      </c>
      <c r="F11" s="72">
        <v>240</v>
      </c>
      <c r="G11" s="72">
        <v>5</v>
      </c>
    </row>
    <row r="12" spans="1:7" x14ac:dyDescent="0.25">
      <c r="B12" s="72" t="s">
        <v>49</v>
      </c>
      <c r="C12" s="81" t="s">
        <v>7</v>
      </c>
      <c r="D12" s="72">
        <v>1200</v>
      </c>
      <c r="E12" s="72">
        <v>15</v>
      </c>
      <c r="F12" s="72">
        <v>1200</v>
      </c>
      <c r="G12" s="72">
        <v>20</v>
      </c>
    </row>
    <row r="13" spans="1:7" x14ac:dyDescent="0.25">
      <c r="C13" s="81" t="s">
        <v>7</v>
      </c>
      <c r="D13" s="72">
        <v>800</v>
      </c>
      <c r="E13" s="72">
        <v>30</v>
      </c>
      <c r="F13" s="72">
        <v>800</v>
      </c>
      <c r="G13" s="72">
        <v>35</v>
      </c>
    </row>
    <row r="14" spans="1:7" x14ac:dyDescent="0.25">
      <c r="C14" s="81" t="s">
        <v>7</v>
      </c>
      <c r="D14" s="72">
        <v>400</v>
      </c>
      <c r="E14" s="72">
        <v>40</v>
      </c>
      <c r="F14" s="72">
        <v>400</v>
      </c>
      <c r="G14" s="72">
        <v>55</v>
      </c>
    </row>
    <row r="15" spans="1:7" x14ac:dyDescent="0.25">
      <c r="B15" s="72" t="s">
        <v>48</v>
      </c>
      <c r="C15" s="81" t="s">
        <v>7</v>
      </c>
      <c r="D15" s="72">
        <v>400</v>
      </c>
      <c r="E15" s="72">
        <v>10</v>
      </c>
    </row>
    <row r="16" spans="1:7" x14ac:dyDescent="0.25">
      <c r="B16" s="72" t="s">
        <v>39</v>
      </c>
      <c r="C16" s="81" t="s">
        <v>7</v>
      </c>
      <c r="D16" s="72">
        <v>1600</v>
      </c>
      <c r="E16" s="72">
        <v>5</v>
      </c>
    </row>
    <row r="17" spans="2:6" x14ac:dyDescent="0.25">
      <c r="C17" s="81" t="s">
        <v>7</v>
      </c>
      <c r="D17" s="72">
        <v>800</v>
      </c>
      <c r="E17" s="72">
        <v>30</v>
      </c>
    </row>
    <row r="18" spans="2:6" x14ac:dyDescent="0.25">
      <c r="C18" s="81" t="s">
        <v>8</v>
      </c>
      <c r="D18" s="72">
        <v>320</v>
      </c>
      <c r="F18" s="72">
        <v>400</v>
      </c>
    </row>
    <row r="19" spans="2:6" x14ac:dyDescent="0.25">
      <c r="B19" s="72" t="s">
        <v>44</v>
      </c>
      <c r="C19" s="81" t="s">
        <v>7</v>
      </c>
      <c r="D19" s="72">
        <v>1500</v>
      </c>
      <c r="E19" s="72">
        <v>3</v>
      </c>
    </row>
    <row r="20" spans="2:6" x14ac:dyDescent="0.25">
      <c r="C20" s="81" t="s">
        <v>8</v>
      </c>
      <c r="D20" s="72">
        <v>500</v>
      </c>
    </row>
    <row r="21" spans="2:6" x14ac:dyDescent="0.25">
      <c r="B21" s="72" t="s">
        <v>40</v>
      </c>
      <c r="C21" s="81" t="s">
        <v>9</v>
      </c>
      <c r="D21" s="72">
        <v>4285</v>
      </c>
    </row>
    <row r="22" spans="2:6" x14ac:dyDescent="0.25">
      <c r="C22" s="81"/>
    </row>
    <row r="23" spans="2:6" x14ac:dyDescent="0.25">
      <c r="C23" s="81"/>
    </row>
    <row r="24" spans="2:6" x14ac:dyDescent="0.25">
      <c r="C24" s="81"/>
    </row>
    <row r="25" spans="2:6" x14ac:dyDescent="0.25">
      <c r="C25" s="81"/>
    </row>
    <row r="27" spans="2:6" x14ac:dyDescent="0.25">
      <c r="C27" s="81"/>
    </row>
    <row r="28" spans="2:6" x14ac:dyDescent="0.25">
      <c r="C28" s="81"/>
    </row>
    <row r="29" spans="2:6" x14ac:dyDescent="0.25">
      <c r="C29" s="81"/>
    </row>
    <row r="30" spans="2:6" x14ac:dyDescent="0.25">
      <c r="C30" s="81"/>
    </row>
    <row r="31" spans="2:6" x14ac:dyDescent="0.25">
      <c r="C31" s="81"/>
    </row>
    <row r="32" spans="2:6" x14ac:dyDescent="0.25">
      <c r="C32" s="81"/>
    </row>
    <row r="33" spans="1:3" x14ac:dyDescent="0.25">
      <c r="C33" s="81"/>
    </row>
    <row r="34" spans="1:3" x14ac:dyDescent="0.25">
      <c r="C34" s="81"/>
    </row>
    <row r="35" spans="1:3" x14ac:dyDescent="0.25">
      <c r="C35" s="81"/>
    </row>
    <row r="36" spans="1:3" x14ac:dyDescent="0.25">
      <c r="C36" s="81"/>
    </row>
    <row r="37" spans="1:3" x14ac:dyDescent="0.25">
      <c r="C37" s="81"/>
    </row>
    <row r="38" spans="1:3" x14ac:dyDescent="0.25">
      <c r="C38" s="81"/>
    </row>
    <row r="39" spans="1:3" x14ac:dyDescent="0.25">
      <c r="C39" s="81"/>
    </row>
    <row r="40" spans="1:3" x14ac:dyDescent="0.25">
      <c r="C40" s="81"/>
    </row>
    <row r="41" spans="1:3" x14ac:dyDescent="0.25">
      <c r="C41" s="81"/>
    </row>
    <row r="42" spans="1:3" x14ac:dyDescent="0.25">
      <c r="C42" s="81"/>
    </row>
    <row r="43" spans="1:3" x14ac:dyDescent="0.25">
      <c r="C43" s="81"/>
    </row>
    <row r="44" spans="1:3" x14ac:dyDescent="0.25">
      <c r="C44" s="81"/>
    </row>
    <row r="46" spans="1:3" x14ac:dyDescent="0.25">
      <c r="A46" s="72" t="s">
        <v>41</v>
      </c>
      <c r="C46" s="81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zoomScale="90" zoomScaleNormal="90" workbookViewId="0">
      <selection activeCell="G20" sqref="B20:G2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160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26</v>
      </c>
      <c r="B5" s="27">
        <v>2600</v>
      </c>
      <c r="C5" s="27">
        <v>520</v>
      </c>
      <c r="D5" s="27">
        <f>'VMI HIPO'!$B5/'VMI HIPO'!$C5</f>
        <v>5</v>
      </c>
      <c r="E5" s="28">
        <v>1</v>
      </c>
      <c r="G5" s="72" t="s">
        <v>159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72" t="s">
        <v>33</v>
      </c>
      <c r="B8" s="72" t="s">
        <v>26</v>
      </c>
      <c r="C8" s="81" t="s">
        <v>3</v>
      </c>
      <c r="D8" s="72">
        <v>2522</v>
      </c>
      <c r="E8" s="72">
        <v>95</v>
      </c>
      <c r="F8" s="72">
        <v>2470</v>
      </c>
      <c r="G8" s="72">
        <v>95</v>
      </c>
    </row>
    <row r="9" spans="1:7" x14ac:dyDescent="0.25">
      <c r="C9" s="81" t="s">
        <v>7</v>
      </c>
      <c r="D9" s="72">
        <v>2730</v>
      </c>
      <c r="E9" s="72">
        <v>2</v>
      </c>
      <c r="F9" s="72">
        <v>2782</v>
      </c>
      <c r="G9" s="72">
        <v>2</v>
      </c>
    </row>
    <row r="10" spans="1:7" x14ac:dyDescent="0.25">
      <c r="A10" s="72" t="s">
        <v>37</v>
      </c>
      <c r="B10" s="72" t="s">
        <v>47</v>
      </c>
      <c r="C10" s="81" t="s">
        <v>9</v>
      </c>
      <c r="D10" s="72">
        <v>600</v>
      </c>
    </row>
    <row r="11" spans="1:7" x14ac:dyDescent="0.25">
      <c r="C11" s="81" t="s">
        <v>8</v>
      </c>
      <c r="D11" s="72">
        <v>150</v>
      </c>
    </row>
    <row r="12" spans="1:7" x14ac:dyDescent="0.25">
      <c r="B12" s="72" t="s">
        <v>48</v>
      </c>
      <c r="C12" s="81" t="s">
        <v>7</v>
      </c>
      <c r="D12" s="72">
        <v>800</v>
      </c>
      <c r="E12" s="72">
        <v>15</v>
      </c>
    </row>
    <row r="13" spans="1:7" x14ac:dyDescent="0.25">
      <c r="C13" s="81" t="s">
        <v>7</v>
      </c>
      <c r="D13" s="72">
        <v>500</v>
      </c>
      <c r="E13" s="72">
        <v>30</v>
      </c>
    </row>
    <row r="14" spans="1:7" x14ac:dyDescent="0.25">
      <c r="C14" s="81" t="s">
        <v>8</v>
      </c>
      <c r="D14" s="72">
        <v>450</v>
      </c>
    </row>
    <row r="15" spans="1:7" x14ac:dyDescent="0.25">
      <c r="B15" s="72" t="s">
        <v>49</v>
      </c>
      <c r="C15" s="81" t="s">
        <v>8</v>
      </c>
      <c r="D15" s="72">
        <v>120</v>
      </c>
      <c r="F15" s="72">
        <v>580</v>
      </c>
    </row>
    <row r="16" spans="1:7" x14ac:dyDescent="0.25">
      <c r="C16" s="81" t="s">
        <v>9</v>
      </c>
      <c r="D16" s="72">
        <v>700</v>
      </c>
    </row>
    <row r="17" spans="2:6" x14ac:dyDescent="0.25">
      <c r="B17" s="72" t="s">
        <v>39</v>
      </c>
      <c r="C17" s="81" t="s">
        <v>7</v>
      </c>
      <c r="D17" s="72">
        <v>700</v>
      </c>
      <c r="E17" s="72">
        <v>5</v>
      </c>
    </row>
    <row r="18" spans="2:6" x14ac:dyDescent="0.25">
      <c r="C18" s="81" t="s">
        <v>7</v>
      </c>
      <c r="D18" s="72">
        <v>150</v>
      </c>
      <c r="E18" s="72">
        <v>30</v>
      </c>
    </row>
    <row r="19" spans="2:6" x14ac:dyDescent="0.25">
      <c r="C19" s="81" t="s">
        <v>8</v>
      </c>
      <c r="D19" s="72">
        <v>200</v>
      </c>
      <c r="F19" s="72">
        <v>300</v>
      </c>
    </row>
    <row r="20" spans="2:6" x14ac:dyDescent="0.25">
      <c r="B20" s="72" t="s">
        <v>54</v>
      </c>
      <c r="C20" s="81" t="s">
        <v>9</v>
      </c>
      <c r="D20" s="72">
        <v>250</v>
      </c>
      <c r="F20" s="72">
        <v>400</v>
      </c>
    </row>
    <row r="21" spans="2:6" x14ac:dyDescent="0.25">
      <c r="B21" s="72" t="s">
        <v>40</v>
      </c>
      <c r="C21" s="81" t="s">
        <v>9</v>
      </c>
      <c r="D21" s="72">
        <v>2860</v>
      </c>
    </row>
    <row r="22" spans="2:6" x14ac:dyDescent="0.25">
      <c r="C22" s="81"/>
    </row>
    <row r="23" spans="2:6" x14ac:dyDescent="0.25">
      <c r="C23" s="81"/>
    </row>
    <row r="24" spans="2:6" x14ac:dyDescent="0.25">
      <c r="C24" s="81"/>
    </row>
    <row r="25" spans="2:6" x14ac:dyDescent="0.25">
      <c r="C25" s="81"/>
    </row>
    <row r="26" spans="2:6" x14ac:dyDescent="0.25">
      <c r="C26" s="81"/>
    </row>
    <row r="27" spans="2:6" x14ac:dyDescent="0.25">
      <c r="C27" s="81"/>
    </row>
    <row r="28" spans="2:6" x14ac:dyDescent="0.25">
      <c r="C28" s="81"/>
    </row>
    <row r="29" spans="2:6" x14ac:dyDescent="0.25">
      <c r="C29" s="81"/>
    </row>
    <row r="30" spans="2:6" x14ac:dyDescent="0.25">
      <c r="C30" s="81"/>
    </row>
    <row r="31" spans="2:6" x14ac:dyDescent="0.25">
      <c r="C31" s="81"/>
    </row>
    <row r="32" spans="2:6" x14ac:dyDescent="0.25">
      <c r="C32" s="81"/>
    </row>
    <row r="33" spans="1:3" x14ac:dyDescent="0.25">
      <c r="C33" s="81"/>
    </row>
    <row r="34" spans="1:3" x14ac:dyDescent="0.25">
      <c r="C34" s="81"/>
    </row>
    <row r="35" spans="1:3" x14ac:dyDescent="0.25">
      <c r="C35" s="81"/>
    </row>
    <row r="36" spans="1:3" x14ac:dyDescent="0.25">
      <c r="C36" s="81"/>
    </row>
    <row r="37" spans="1:3" x14ac:dyDescent="0.25">
      <c r="C37" s="81"/>
    </row>
    <row r="38" spans="1:3" x14ac:dyDescent="0.25">
      <c r="C38" s="81"/>
    </row>
    <row r="39" spans="1:3" x14ac:dyDescent="0.25">
      <c r="C39" s="81"/>
    </row>
    <row r="40" spans="1:3" x14ac:dyDescent="0.25">
      <c r="C40" s="81"/>
    </row>
    <row r="41" spans="1:3" x14ac:dyDescent="0.25">
      <c r="C41" s="81"/>
    </row>
    <row r="42" spans="1:3" x14ac:dyDescent="0.25">
      <c r="C42" s="81"/>
    </row>
    <row r="43" spans="1:3" x14ac:dyDescent="0.25">
      <c r="C43" s="81"/>
    </row>
    <row r="44" spans="1:3" x14ac:dyDescent="0.25">
      <c r="C44" s="81"/>
    </row>
    <row r="45" spans="1:3" x14ac:dyDescent="0.25">
      <c r="C45" s="81"/>
    </row>
    <row r="47" spans="1:3" x14ac:dyDescent="0.25">
      <c r="A47" s="72" t="s">
        <v>41</v>
      </c>
      <c r="C47" s="81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zoomScale="90" zoomScaleNormal="90" workbookViewId="0">
      <selection activeCell="B20" sqref="B20:G2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158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43</v>
      </c>
      <c r="B5" s="27">
        <v>2600</v>
      </c>
      <c r="C5" s="27">
        <v>520</v>
      </c>
      <c r="D5" s="27">
        <f>'VMD HIPO'!$B5/'VMD HIPO'!$C5</f>
        <v>5</v>
      </c>
      <c r="E5" s="28">
        <v>1</v>
      </c>
      <c r="G5" s="72" t="s">
        <v>159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72" t="s">
        <v>33</v>
      </c>
      <c r="B8" s="72" t="s">
        <v>43</v>
      </c>
      <c r="C8" s="81" t="s">
        <v>3</v>
      </c>
      <c r="D8" s="72">
        <v>2522</v>
      </c>
      <c r="E8" s="72">
        <v>95</v>
      </c>
      <c r="F8" s="72">
        <v>2470</v>
      </c>
      <c r="G8" s="72">
        <v>95</v>
      </c>
    </row>
    <row r="9" spans="1:7" x14ac:dyDescent="0.25">
      <c r="C9" s="81" t="s">
        <v>7</v>
      </c>
      <c r="D9" s="72">
        <v>2730</v>
      </c>
      <c r="E9" s="72">
        <v>2</v>
      </c>
      <c r="F9" s="72">
        <v>2782</v>
      </c>
      <c r="G9" s="72">
        <v>2</v>
      </c>
    </row>
    <row r="10" spans="1:7" x14ac:dyDescent="0.25">
      <c r="A10" s="72" t="s">
        <v>37</v>
      </c>
      <c r="B10" s="72" t="s">
        <v>51</v>
      </c>
      <c r="C10" s="81" t="s">
        <v>9</v>
      </c>
      <c r="D10" s="72">
        <v>600</v>
      </c>
    </row>
    <row r="11" spans="1:7" x14ac:dyDescent="0.25">
      <c r="C11" s="81" t="s">
        <v>8</v>
      </c>
      <c r="D11" s="72">
        <v>150</v>
      </c>
    </row>
    <row r="12" spans="1:7" x14ac:dyDescent="0.25">
      <c r="B12" s="72" t="s">
        <v>49</v>
      </c>
      <c r="C12" s="81" t="s">
        <v>7</v>
      </c>
      <c r="D12" s="72">
        <v>800</v>
      </c>
      <c r="E12" s="72">
        <v>15</v>
      </c>
    </row>
    <row r="13" spans="1:7" x14ac:dyDescent="0.25">
      <c r="C13" s="81" t="s">
        <v>7</v>
      </c>
      <c r="D13" s="72">
        <v>500</v>
      </c>
      <c r="E13" s="72">
        <v>30</v>
      </c>
    </row>
    <row r="14" spans="1:7" x14ac:dyDescent="0.25">
      <c r="C14" s="81" t="s">
        <v>8</v>
      </c>
      <c r="D14" s="72">
        <v>450</v>
      </c>
    </row>
    <row r="15" spans="1:7" x14ac:dyDescent="0.25">
      <c r="B15" s="72" t="s">
        <v>48</v>
      </c>
      <c r="C15" s="81" t="s">
        <v>8</v>
      </c>
      <c r="D15" s="72">
        <v>120</v>
      </c>
      <c r="F15" s="72">
        <v>580</v>
      </c>
    </row>
    <row r="16" spans="1:7" x14ac:dyDescent="0.25">
      <c r="C16" s="81" t="s">
        <v>9</v>
      </c>
      <c r="D16" s="72">
        <v>700</v>
      </c>
    </row>
    <row r="17" spans="2:6" x14ac:dyDescent="0.25">
      <c r="B17" s="72" t="s">
        <v>39</v>
      </c>
      <c r="C17" s="81" t="s">
        <v>7</v>
      </c>
      <c r="D17" s="72">
        <v>700</v>
      </c>
      <c r="E17" s="72">
        <v>5</v>
      </c>
    </row>
    <row r="18" spans="2:6" x14ac:dyDescent="0.25">
      <c r="C18" s="81" t="s">
        <v>7</v>
      </c>
      <c r="D18" s="72">
        <v>150</v>
      </c>
      <c r="E18" s="72">
        <v>30</v>
      </c>
    </row>
    <row r="19" spans="2:6" x14ac:dyDescent="0.25">
      <c r="C19" s="81" t="s">
        <v>8</v>
      </c>
      <c r="D19" s="72">
        <v>200</v>
      </c>
      <c r="F19" s="72">
        <v>300</v>
      </c>
    </row>
    <row r="20" spans="2:6" x14ac:dyDescent="0.25">
      <c r="B20" s="72" t="s">
        <v>54</v>
      </c>
      <c r="C20" s="81" t="s">
        <v>9</v>
      </c>
      <c r="D20" s="72">
        <v>250</v>
      </c>
      <c r="F20" s="72">
        <v>400</v>
      </c>
    </row>
    <row r="21" spans="2:6" x14ac:dyDescent="0.25">
      <c r="B21" s="72" t="s">
        <v>44</v>
      </c>
      <c r="C21" s="81" t="s">
        <v>7</v>
      </c>
      <c r="D21" s="72">
        <v>1860</v>
      </c>
      <c r="E21" s="72">
        <v>60</v>
      </c>
    </row>
    <row r="22" spans="2:6" x14ac:dyDescent="0.25">
      <c r="B22" s="72" t="s">
        <v>40</v>
      </c>
      <c r="C22" s="81" t="s">
        <v>9</v>
      </c>
      <c r="D22" s="72">
        <v>2860</v>
      </c>
    </row>
    <row r="23" spans="2:6" x14ac:dyDescent="0.25">
      <c r="C23" s="81"/>
    </row>
    <row r="24" spans="2:6" x14ac:dyDescent="0.25">
      <c r="C24" s="81"/>
    </row>
    <row r="25" spans="2:6" x14ac:dyDescent="0.25">
      <c r="C25" s="81"/>
    </row>
    <row r="26" spans="2:6" x14ac:dyDescent="0.25">
      <c r="C26" s="81"/>
    </row>
    <row r="27" spans="2:6" x14ac:dyDescent="0.25">
      <c r="C27" s="81"/>
    </row>
    <row r="28" spans="2:6" x14ac:dyDescent="0.25">
      <c r="C28" s="81"/>
    </row>
    <row r="29" spans="2:6" x14ac:dyDescent="0.25">
      <c r="C29" s="81"/>
    </row>
    <row r="30" spans="2:6" x14ac:dyDescent="0.25">
      <c r="C30" s="81"/>
    </row>
    <row r="31" spans="2:6" x14ac:dyDescent="0.25">
      <c r="C31" s="81"/>
    </row>
    <row r="32" spans="2:6" x14ac:dyDescent="0.25">
      <c r="C32" s="81"/>
    </row>
    <row r="33" spans="1:3" x14ac:dyDescent="0.25">
      <c r="C33" s="81"/>
    </row>
    <row r="34" spans="1:3" x14ac:dyDescent="0.25">
      <c r="C34" s="81"/>
    </row>
    <row r="35" spans="1:3" x14ac:dyDescent="0.25">
      <c r="C35" s="81"/>
    </row>
    <row r="36" spans="1:3" x14ac:dyDescent="0.25">
      <c r="C36" s="81"/>
    </row>
    <row r="37" spans="1:3" x14ac:dyDescent="0.25">
      <c r="C37" s="81"/>
    </row>
    <row r="38" spans="1:3" x14ac:dyDescent="0.25">
      <c r="C38" s="81"/>
    </row>
    <row r="39" spans="1:3" x14ac:dyDescent="0.25">
      <c r="C39" s="81"/>
    </row>
    <row r="40" spans="1:3" x14ac:dyDescent="0.25">
      <c r="C40" s="81"/>
    </row>
    <row r="41" spans="1:3" x14ac:dyDescent="0.25">
      <c r="C41" s="81"/>
    </row>
    <row r="42" spans="1:3" x14ac:dyDescent="0.25">
      <c r="C42" s="81"/>
    </row>
    <row r="43" spans="1:3" x14ac:dyDescent="0.25">
      <c r="C43" s="81"/>
    </row>
    <row r="44" spans="1:3" x14ac:dyDescent="0.25">
      <c r="C44" s="81"/>
    </row>
    <row r="45" spans="1:3" x14ac:dyDescent="0.25">
      <c r="C45" s="81"/>
    </row>
    <row r="47" spans="1:3" x14ac:dyDescent="0.25">
      <c r="A47" s="72" t="s">
        <v>41</v>
      </c>
      <c r="C47" s="81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90" zoomScaleNormal="90" workbookViewId="0">
      <selection activeCell="D9" sqref="D9"/>
    </sheetView>
  </sheetViews>
  <sheetFormatPr defaultColWidth="11.42578125" defaultRowHeight="15" x14ac:dyDescent="0.25"/>
  <cols>
    <col min="1" max="1" width="30.7109375" style="72" customWidth="1"/>
    <col min="2" max="2" width="28" style="72" customWidth="1"/>
    <col min="3" max="3" width="13.5703125" style="72" customWidth="1"/>
    <col min="4" max="4" width="14.85546875" style="72" customWidth="1"/>
    <col min="5" max="5" width="18.7109375" style="72" customWidth="1"/>
    <col min="6" max="6" width="18.5703125" style="72" customWidth="1"/>
    <col min="7" max="7" width="22.2851562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184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26</v>
      </c>
      <c r="B5" s="27">
        <v>2600</v>
      </c>
      <c r="C5" s="27">
        <v>520</v>
      </c>
      <c r="D5" s="27">
        <f>'VMI+BOOST INT HIPO'!$B5/'VMI+BOOST INT HIPO'!$C5</f>
        <v>5</v>
      </c>
      <c r="E5" s="28">
        <v>1</v>
      </c>
      <c r="G5" s="72" t="s">
        <v>159</v>
      </c>
    </row>
    <row r="6" spans="1:7" x14ac:dyDescent="0.25">
      <c r="A6" s="117" t="s">
        <v>96</v>
      </c>
      <c r="B6" s="117">
        <v>2900</v>
      </c>
      <c r="C6" s="117">
        <v>580</v>
      </c>
      <c r="D6" s="117">
        <v>5</v>
      </c>
      <c r="E6" s="117">
        <v>1</v>
      </c>
    </row>
    <row r="8" spans="1:7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7" x14ac:dyDescent="0.25">
      <c r="A9" s="72" t="s">
        <v>33</v>
      </c>
      <c r="B9" s="72" t="s">
        <v>26</v>
      </c>
      <c r="C9" s="81" t="s">
        <v>3</v>
      </c>
      <c r="D9" s="72">
        <v>2522</v>
      </c>
      <c r="E9" s="72">
        <v>95</v>
      </c>
      <c r="F9" s="72">
        <v>2470</v>
      </c>
      <c r="G9" s="72">
        <v>95</v>
      </c>
    </row>
    <row r="10" spans="1:7" x14ac:dyDescent="0.25">
      <c r="C10" s="81" t="s">
        <v>7</v>
      </c>
      <c r="D10" s="72">
        <v>2900</v>
      </c>
      <c r="E10" s="72">
        <v>35</v>
      </c>
    </row>
    <row r="11" spans="1:7" x14ac:dyDescent="0.25">
      <c r="C11" s="81" t="s">
        <v>7</v>
      </c>
      <c r="D11" s="72">
        <v>2730</v>
      </c>
      <c r="E11" s="72">
        <v>50</v>
      </c>
    </row>
    <row r="12" spans="1:7" x14ac:dyDescent="0.25">
      <c r="B12" s="72" t="s">
        <v>36</v>
      </c>
      <c r="C12" s="81" t="s">
        <v>3</v>
      </c>
      <c r="D12" s="72">
        <v>2813</v>
      </c>
      <c r="E12" s="72">
        <v>95</v>
      </c>
    </row>
    <row r="13" spans="1:7" x14ac:dyDescent="0.25">
      <c r="C13" s="81" t="s">
        <v>9</v>
      </c>
      <c r="D13" s="72">
        <v>3103</v>
      </c>
    </row>
    <row r="14" spans="1:7" x14ac:dyDescent="0.25">
      <c r="A14" s="72" t="s">
        <v>37</v>
      </c>
      <c r="B14" s="72" t="s">
        <v>47</v>
      </c>
      <c r="C14" s="81" t="s">
        <v>9</v>
      </c>
      <c r="D14" s="72">
        <v>600</v>
      </c>
    </row>
    <row r="15" spans="1:7" x14ac:dyDescent="0.25">
      <c r="C15" s="81" t="s">
        <v>8</v>
      </c>
      <c r="D15" s="72">
        <v>150</v>
      </c>
    </row>
    <row r="16" spans="1:7" x14ac:dyDescent="0.25">
      <c r="B16" s="72" t="s">
        <v>48</v>
      </c>
      <c r="C16" s="81" t="s">
        <v>7</v>
      </c>
      <c r="D16" s="72">
        <v>800</v>
      </c>
      <c r="E16" s="72">
        <v>15</v>
      </c>
    </row>
    <row r="17" spans="2:6" x14ac:dyDescent="0.25">
      <c r="C17" s="81" t="s">
        <v>7</v>
      </c>
      <c r="D17" s="72">
        <v>500</v>
      </c>
      <c r="E17" s="72">
        <v>30</v>
      </c>
    </row>
    <row r="18" spans="2:6" x14ac:dyDescent="0.25">
      <c r="C18" s="81" t="s">
        <v>8</v>
      </c>
      <c r="D18" s="72">
        <v>450</v>
      </c>
    </row>
    <row r="19" spans="2:6" x14ac:dyDescent="0.25">
      <c r="B19" s="72" t="s">
        <v>49</v>
      </c>
      <c r="C19" s="81" t="s">
        <v>8</v>
      </c>
      <c r="D19" s="72">
        <v>120</v>
      </c>
      <c r="F19" s="72">
        <v>580</v>
      </c>
    </row>
    <row r="20" spans="2:6" x14ac:dyDescent="0.25">
      <c r="C20" s="81" t="s">
        <v>9</v>
      </c>
      <c r="D20" s="72">
        <v>700</v>
      </c>
    </row>
    <row r="21" spans="2:6" x14ac:dyDescent="0.25">
      <c r="B21" s="72" t="s">
        <v>39</v>
      </c>
      <c r="C21" s="81" t="s">
        <v>7</v>
      </c>
      <c r="D21" s="72">
        <v>700</v>
      </c>
      <c r="E21" s="72">
        <v>5</v>
      </c>
    </row>
    <row r="22" spans="2:6" x14ac:dyDescent="0.25">
      <c r="C22" s="81" t="s">
        <v>7</v>
      </c>
      <c r="D22" s="72">
        <v>150</v>
      </c>
      <c r="E22" s="72">
        <v>30</v>
      </c>
    </row>
    <row r="23" spans="2:6" x14ac:dyDescent="0.25">
      <c r="C23" s="81" t="s">
        <v>8</v>
      </c>
      <c r="D23" s="72">
        <v>200</v>
      </c>
      <c r="F23" s="72">
        <v>300</v>
      </c>
    </row>
    <row r="24" spans="2:6" x14ac:dyDescent="0.25">
      <c r="B24" s="72" t="s">
        <v>54</v>
      </c>
      <c r="C24" s="81" t="s">
        <v>9</v>
      </c>
      <c r="D24" s="72">
        <v>250</v>
      </c>
      <c r="F24" s="72">
        <v>400</v>
      </c>
    </row>
    <row r="25" spans="2:6" x14ac:dyDescent="0.25">
      <c r="B25" s="72" t="s">
        <v>40</v>
      </c>
      <c r="C25" s="81" t="s">
        <v>9</v>
      </c>
      <c r="D25" s="72">
        <v>3103</v>
      </c>
    </row>
    <row r="26" spans="2:6" x14ac:dyDescent="0.25">
      <c r="C26" s="81"/>
    </row>
    <row r="27" spans="2:6" x14ac:dyDescent="0.25">
      <c r="C27" s="81"/>
    </row>
    <row r="28" spans="2:6" x14ac:dyDescent="0.25">
      <c r="C28" s="81"/>
    </row>
    <row r="29" spans="2:6" x14ac:dyDescent="0.25">
      <c r="C29" s="81"/>
    </row>
    <row r="30" spans="2:6" x14ac:dyDescent="0.25">
      <c r="C30" s="81"/>
    </row>
    <row r="31" spans="2:6" x14ac:dyDescent="0.25">
      <c r="C31" s="81"/>
    </row>
    <row r="32" spans="2:6" x14ac:dyDescent="0.25">
      <c r="C32" s="81"/>
    </row>
    <row r="33" spans="1:3" x14ac:dyDescent="0.25">
      <c r="C33" s="81"/>
    </row>
    <row r="34" spans="1:3" x14ac:dyDescent="0.25">
      <c r="C34" s="81"/>
    </row>
    <row r="35" spans="1:3" x14ac:dyDescent="0.25">
      <c r="C35" s="81"/>
    </row>
    <row r="36" spans="1:3" x14ac:dyDescent="0.25">
      <c r="C36" s="81"/>
    </row>
    <row r="37" spans="1:3" x14ac:dyDescent="0.25">
      <c r="C37" s="81"/>
    </row>
    <row r="38" spans="1:3" x14ac:dyDescent="0.25">
      <c r="C38" s="81"/>
    </row>
    <row r="39" spans="1:3" x14ac:dyDescent="0.25">
      <c r="C39" s="81"/>
    </row>
    <row r="40" spans="1:3" x14ac:dyDescent="0.25">
      <c r="C40" s="81"/>
    </row>
    <row r="41" spans="1:3" x14ac:dyDescent="0.25">
      <c r="C41" s="81"/>
    </row>
    <row r="42" spans="1:3" x14ac:dyDescent="0.25">
      <c r="C42" s="81"/>
    </row>
    <row r="43" spans="1:3" x14ac:dyDescent="0.25">
      <c r="C43" s="81"/>
    </row>
    <row r="44" spans="1:3" x14ac:dyDescent="0.25">
      <c r="C44" s="81"/>
    </row>
    <row r="45" spans="1:3" x14ac:dyDescent="0.25">
      <c r="C45" s="81"/>
    </row>
    <row r="46" spans="1:3" x14ac:dyDescent="0.25">
      <c r="A46" s="72" t="s">
        <v>41</v>
      </c>
      <c r="C46" s="81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B1" zoomScale="90" zoomScaleNormal="90" workbookViewId="0">
      <selection activeCell="D28" sqref="D28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185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43</v>
      </c>
      <c r="B5" s="27">
        <v>2600</v>
      </c>
      <c r="C5" s="27">
        <v>520</v>
      </c>
      <c r="D5" s="27">
        <f>'VMD+BOOST INT HIPO'!$B5/'VMD+BOOST INT HIPO'!$C5</f>
        <v>5</v>
      </c>
      <c r="E5" s="28">
        <v>1</v>
      </c>
      <c r="G5" s="72" t="s">
        <v>159</v>
      </c>
    </row>
    <row r="6" spans="1:7" x14ac:dyDescent="0.25">
      <c r="A6" s="117" t="s">
        <v>96</v>
      </c>
      <c r="B6" s="117">
        <v>2900</v>
      </c>
      <c r="C6" s="117">
        <v>580</v>
      </c>
      <c r="D6" s="117">
        <v>5</v>
      </c>
      <c r="E6" s="117">
        <v>1</v>
      </c>
    </row>
    <row r="8" spans="1:7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7" x14ac:dyDescent="0.25">
      <c r="A9" s="72" t="s">
        <v>33</v>
      </c>
      <c r="B9" s="72" t="s">
        <v>43</v>
      </c>
      <c r="C9" s="81" t="s">
        <v>3</v>
      </c>
      <c r="D9" s="72">
        <v>2522</v>
      </c>
      <c r="E9" s="72">
        <v>95</v>
      </c>
      <c r="F9" s="72">
        <v>2470</v>
      </c>
      <c r="G9" s="72">
        <v>95</v>
      </c>
    </row>
    <row r="10" spans="1:7" x14ac:dyDescent="0.25">
      <c r="C10" s="81" t="s">
        <v>7</v>
      </c>
      <c r="D10" s="72">
        <v>2900</v>
      </c>
      <c r="E10" s="72">
        <v>35</v>
      </c>
    </row>
    <row r="11" spans="1:7" x14ac:dyDescent="0.25">
      <c r="C11" s="81" t="s">
        <v>7</v>
      </c>
      <c r="D11" s="72">
        <v>2730</v>
      </c>
      <c r="E11" s="72">
        <v>50</v>
      </c>
    </row>
    <row r="12" spans="1:7" x14ac:dyDescent="0.25">
      <c r="B12" s="72" t="s">
        <v>36</v>
      </c>
      <c r="C12" s="81" t="s">
        <v>3</v>
      </c>
      <c r="D12" s="72">
        <v>2813</v>
      </c>
      <c r="E12" s="72">
        <v>95</v>
      </c>
    </row>
    <row r="13" spans="1:7" x14ac:dyDescent="0.25">
      <c r="C13" s="81" t="s">
        <v>9</v>
      </c>
      <c r="D13" s="72">
        <v>3103</v>
      </c>
    </row>
    <row r="14" spans="1:7" x14ac:dyDescent="0.25">
      <c r="A14" s="72" t="s">
        <v>37</v>
      </c>
      <c r="B14" s="72" t="s">
        <v>51</v>
      </c>
      <c r="C14" s="81" t="s">
        <v>9</v>
      </c>
      <c r="D14" s="72">
        <v>600</v>
      </c>
    </row>
    <row r="15" spans="1:7" x14ac:dyDescent="0.25">
      <c r="C15" s="81" t="s">
        <v>8</v>
      </c>
      <c r="D15" s="72">
        <v>150</v>
      </c>
    </row>
    <row r="16" spans="1:7" x14ac:dyDescent="0.25">
      <c r="B16" s="72" t="s">
        <v>49</v>
      </c>
      <c r="C16" s="81" t="s">
        <v>7</v>
      </c>
      <c r="D16" s="72">
        <v>800</v>
      </c>
      <c r="E16" s="72">
        <v>15</v>
      </c>
    </row>
    <row r="17" spans="2:6" x14ac:dyDescent="0.25">
      <c r="C17" s="81" t="s">
        <v>7</v>
      </c>
      <c r="D17" s="72">
        <v>500</v>
      </c>
      <c r="E17" s="72">
        <v>30</v>
      </c>
    </row>
    <row r="18" spans="2:6" x14ac:dyDescent="0.25">
      <c r="C18" s="81" t="s">
        <v>8</v>
      </c>
      <c r="D18" s="72">
        <v>450</v>
      </c>
    </row>
    <row r="19" spans="2:6" x14ac:dyDescent="0.25">
      <c r="B19" s="72" t="s">
        <v>48</v>
      </c>
      <c r="C19" s="81" t="s">
        <v>8</v>
      </c>
      <c r="D19" s="72">
        <v>120</v>
      </c>
      <c r="F19" s="72">
        <v>580</v>
      </c>
    </row>
    <row r="20" spans="2:6" x14ac:dyDescent="0.25">
      <c r="C20" s="81" t="s">
        <v>9</v>
      </c>
      <c r="D20" s="72">
        <v>700</v>
      </c>
    </row>
    <row r="21" spans="2:6" x14ac:dyDescent="0.25">
      <c r="B21" s="72" t="s">
        <v>39</v>
      </c>
      <c r="C21" s="81" t="s">
        <v>7</v>
      </c>
      <c r="D21" s="72">
        <v>700</v>
      </c>
      <c r="E21" s="72">
        <v>5</v>
      </c>
    </row>
    <row r="22" spans="2:6" x14ac:dyDescent="0.25">
      <c r="C22" s="81" t="s">
        <v>7</v>
      </c>
      <c r="D22" s="72">
        <v>150</v>
      </c>
      <c r="E22" s="72">
        <v>30</v>
      </c>
    </row>
    <row r="23" spans="2:6" x14ac:dyDescent="0.25">
      <c r="C23" s="81" t="s">
        <v>8</v>
      </c>
      <c r="D23" s="72">
        <v>200</v>
      </c>
      <c r="F23" s="72">
        <v>300</v>
      </c>
    </row>
    <row r="24" spans="2:6" x14ac:dyDescent="0.25">
      <c r="B24" s="72" t="s">
        <v>54</v>
      </c>
      <c r="C24" s="81" t="s">
        <v>9</v>
      </c>
      <c r="D24" s="72">
        <v>250</v>
      </c>
      <c r="F24" s="72">
        <v>400</v>
      </c>
    </row>
    <row r="25" spans="2:6" x14ac:dyDescent="0.25">
      <c r="B25" s="72" t="s">
        <v>44</v>
      </c>
      <c r="C25" s="81" t="s">
        <v>7</v>
      </c>
      <c r="D25" s="72">
        <v>1860</v>
      </c>
      <c r="E25" s="72">
        <v>60</v>
      </c>
    </row>
    <row r="26" spans="2:6" x14ac:dyDescent="0.25">
      <c r="B26" s="72" t="s">
        <v>40</v>
      </c>
      <c r="C26" s="81" t="s">
        <v>9</v>
      </c>
      <c r="D26" s="72">
        <v>3103</v>
      </c>
    </row>
    <row r="27" spans="2:6" x14ac:dyDescent="0.25">
      <c r="C27" s="81"/>
    </row>
    <row r="28" spans="2:6" x14ac:dyDescent="0.25">
      <c r="C28" s="81"/>
    </row>
    <row r="29" spans="2:6" x14ac:dyDescent="0.25">
      <c r="C29" s="81"/>
    </row>
    <row r="30" spans="2:6" x14ac:dyDescent="0.25">
      <c r="C30" s="81"/>
    </row>
    <row r="31" spans="2:6" x14ac:dyDescent="0.25">
      <c r="C31" s="81"/>
    </row>
    <row r="32" spans="2:6" x14ac:dyDescent="0.25">
      <c r="C32" s="81"/>
    </row>
    <row r="33" spans="1:3" x14ac:dyDescent="0.25">
      <c r="C33" s="81"/>
    </row>
    <row r="34" spans="1:3" x14ac:dyDescent="0.25">
      <c r="C34" s="81"/>
    </row>
    <row r="35" spans="1:3" x14ac:dyDescent="0.25">
      <c r="C35" s="81"/>
    </row>
    <row r="36" spans="1:3" x14ac:dyDescent="0.25">
      <c r="C36" s="81"/>
    </row>
    <row r="37" spans="1:3" x14ac:dyDescent="0.25">
      <c r="C37" s="81"/>
    </row>
    <row r="38" spans="1:3" x14ac:dyDescent="0.25">
      <c r="C38" s="81"/>
    </row>
    <row r="39" spans="1:3" x14ac:dyDescent="0.25">
      <c r="C39" s="81"/>
    </row>
    <row r="40" spans="1:3" x14ac:dyDescent="0.25">
      <c r="C40" s="81"/>
    </row>
    <row r="41" spans="1:3" x14ac:dyDescent="0.25">
      <c r="C41" s="81"/>
    </row>
    <row r="42" spans="1:3" x14ac:dyDescent="0.25">
      <c r="C42" s="81"/>
    </row>
    <row r="43" spans="1:3" x14ac:dyDescent="0.25">
      <c r="C43" s="81"/>
    </row>
    <row r="44" spans="1:3" x14ac:dyDescent="0.25">
      <c r="C44" s="81"/>
    </row>
    <row r="45" spans="1:3" x14ac:dyDescent="0.25">
      <c r="C45" s="81"/>
    </row>
    <row r="46" spans="1:3" x14ac:dyDescent="0.25">
      <c r="A46" s="72" t="s">
        <v>41</v>
      </c>
      <c r="C46" s="81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Normal="100" workbookViewId="0">
      <selection activeCell="C13" sqref="C13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35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40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26</v>
      </c>
      <c r="B5" s="27">
        <v>4005</v>
      </c>
      <c r="C5" s="27">
        <v>267</v>
      </c>
      <c r="D5" s="27">
        <f>'VMI+BOOST INT'!$B5/'VMI+BOOST INT'!$C5</f>
        <v>15</v>
      </c>
      <c r="E5" s="28">
        <v>1</v>
      </c>
      <c r="G5" s="72" t="s">
        <v>120</v>
      </c>
    </row>
    <row r="6" spans="1:7" x14ac:dyDescent="0.25">
      <c r="A6" s="9" t="s">
        <v>96</v>
      </c>
      <c r="B6" s="10">
        <v>4800</v>
      </c>
      <c r="C6" s="10">
        <v>320</v>
      </c>
      <c r="D6" s="10">
        <f>'VMI+BOOST INT'!$B6/'VMI+BOOST INT'!$C6</f>
        <v>15</v>
      </c>
      <c r="E6" s="11">
        <v>1</v>
      </c>
    </row>
    <row r="8" spans="1:7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7" x14ac:dyDescent="0.25">
      <c r="A9" t="s">
        <v>33</v>
      </c>
      <c r="B9" t="s">
        <v>26</v>
      </c>
      <c r="C9" s="81" t="s">
        <v>3</v>
      </c>
      <c r="D9">
        <v>3885</v>
      </c>
      <c r="E9">
        <v>95</v>
      </c>
      <c r="F9">
        <v>3805</v>
      </c>
      <c r="G9">
        <v>95</v>
      </c>
    </row>
    <row r="10" spans="1:7" x14ac:dyDescent="0.25">
      <c r="C10" s="81" t="s">
        <v>7</v>
      </c>
      <c r="D10">
        <v>4800</v>
      </c>
      <c r="E10">
        <v>35</v>
      </c>
    </row>
    <row r="11" spans="1:7" x14ac:dyDescent="0.25">
      <c r="C11" s="81" t="s">
        <v>7</v>
      </c>
      <c r="D11">
        <v>4320</v>
      </c>
      <c r="E11">
        <v>50</v>
      </c>
    </row>
    <row r="12" spans="1:7" x14ac:dyDescent="0.25">
      <c r="B12" t="s">
        <v>96</v>
      </c>
      <c r="C12" s="81" t="s">
        <v>3</v>
      </c>
      <c r="D12">
        <v>4656</v>
      </c>
      <c r="E12">
        <v>95</v>
      </c>
    </row>
    <row r="13" spans="1:7" x14ac:dyDescent="0.25">
      <c r="C13" s="81" t="s">
        <v>7</v>
      </c>
      <c r="D13">
        <v>5280</v>
      </c>
      <c r="E13">
        <v>5</v>
      </c>
    </row>
    <row r="14" spans="1:7" x14ac:dyDescent="0.25">
      <c r="C14" s="81" t="s">
        <v>9</v>
      </c>
      <c r="D14">
        <v>5376</v>
      </c>
    </row>
    <row r="15" spans="1:7" x14ac:dyDescent="0.25">
      <c r="A15" t="s">
        <v>37</v>
      </c>
      <c r="B15" t="s">
        <v>38</v>
      </c>
      <c r="C15" s="81" t="s">
        <v>9</v>
      </c>
      <c r="D15">
        <v>240</v>
      </c>
      <c r="F15">
        <v>384</v>
      </c>
    </row>
    <row r="16" spans="1:7" x14ac:dyDescent="0.25">
      <c r="C16" s="81" t="s">
        <v>7</v>
      </c>
      <c r="D16">
        <v>144</v>
      </c>
      <c r="E16">
        <v>5</v>
      </c>
      <c r="F16">
        <v>240</v>
      </c>
      <c r="G16">
        <v>5</v>
      </c>
    </row>
    <row r="17" spans="2:7" x14ac:dyDescent="0.25">
      <c r="B17" t="s">
        <v>48</v>
      </c>
      <c r="C17" s="81" t="s">
        <v>7</v>
      </c>
      <c r="D17">
        <v>1200</v>
      </c>
      <c r="E17">
        <v>15</v>
      </c>
      <c r="F17">
        <v>1200</v>
      </c>
      <c r="G17">
        <v>20</v>
      </c>
    </row>
    <row r="18" spans="2:7" x14ac:dyDescent="0.25">
      <c r="C18" s="81" t="s">
        <v>7</v>
      </c>
      <c r="D18">
        <v>800</v>
      </c>
      <c r="E18">
        <v>30</v>
      </c>
      <c r="F18">
        <v>800</v>
      </c>
      <c r="G18">
        <v>35</v>
      </c>
    </row>
    <row r="19" spans="2:7" x14ac:dyDescent="0.25">
      <c r="C19" s="81" t="s">
        <v>7</v>
      </c>
      <c r="D19">
        <v>400</v>
      </c>
      <c r="E19">
        <v>40</v>
      </c>
      <c r="F19">
        <v>400</v>
      </c>
      <c r="G19">
        <v>55</v>
      </c>
    </row>
    <row r="20" spans="2:7" x14ac:dyDescent="0.25">
      <c r="B20" t="s">
        <v>49</v>
      </c>
      <c r="C20" s="81" t="s">
        <v>7</v>
      </c>
      <c r="D20">
        <v>400</v>
      </c>
      <c r="E20">
        <v>10</v>
      </c>
    </row>
    <row r="21" spans="2:7" x14ac:dyDescent="0.25">
      <c r="B21" t="s">
        <v>39</v>
      </c>
      <c r="C21" s="81" t="s">
        <v>7</v>
      </c>
      <c r="D21">
        <v>1600</v>
      </c>
      <c r="E21">
        <v>5</v>
      </c>
    </row>
    <row r="22" spans="2:7" x14ac:dyDescent="0.25">
      <c r="C22" s="81" t="s">
        <v>7</v>
      </c>
      <c r="D22">
        <v>800</v>
      </c>
      <c r="E22">
        <v>30</v>
      </c>
    </row>
    <row r="23" spans="2:7" x14ac:dyDescent="0.25">
      <c r="C23" s="81" t="s">
        <v>8</v>
      </c>
      <c r="D23">
        <v>320</v>
      </c>
      <c r="F23">
        <v>400</v>
      </c>
    </row>
    <row r="24" spans="2:7" x14ac:dyDescent="0.25">
      <c r="B24" t="s">
        <v>40</v>
      </c>
      <c r="C24" s="81" t="s">
        <v>9</v>
      </c>
      <c r="D24">
        <v>5136</v>
      </c>
    </row>
    <row r="26" spans="2:7" x14ac:dyDescent="0.25">
      <c r="C26" s="81"/>
    </row>
    <row r="27" spans="2:7" x14ac:dyDescent="0.25">
      <c r="C27" s="81"/>
    </row>
    <row r="28" spans="2:7" x14ac:dyDescent="0.25">
      <c r="C28" s="81"/>
    </row>
    <row r="29" spans="2:7" x14ac:dyDescent="0.25">
      <c r="C29" s="81"/>
    </row>
    <row r="30" spans="2:7" x14ac:dyDescent="0.25">
      <c r="C30" s="81"/>
    </row>
    <row r="31" spans="2:7" x14ac:dyDescent="0.25">
      <c r="C31" s="81"/>
    </row>
    <row r="32" spans="2:7" x14ac:dyDescent="0.25">
      <c r="C32" s="81"/>
    </row>
    <row r="33" spans="1:3" x14ac:dyDescent="0.25">
      <c r="C33" s="81"/>
    </row>
    <row r="34" spans="1:3" x14ac:dyDescent="0.25">
      <c r="C34" s="81"/>
    </row>
    <row r="35" spans="1:3" x14ac:dyDescent="0.25">
      <c r="C35" s="81"/>
    </row>
    <row r="36" spans="1:3" x14ac:dyDescent="0.25">
      <c r="C36" s="81"/>
    </row>
    <row r="37" spans="1:3" x14ac:dyDescent="0.25">
      <c r="C37" s="81"/>
    </row>
    <row r="38" spans="1:3" x14ac:dyDescent="0.25">
      <c r="C38" s="81"/>
    </row>
    <row r="39" spans="1:3" x14ac:dyDescent="0.25">
      <c r="C39" s="81"/>
    </row>
    <row r="40" spans="1:3" x14ac:dyDescent="0.25">
      <c r="C40" s="81"/>
    </row>
    <row r="41" spans="1:3" x14ac:dyDescent="0.25">
      <c r="C41" s="81"/>
    </row>
    <row r="42" spans="1:3" x14ac:dyDescent="0.25">
      <c r="C42" s="81"/>
    </row>
    <row r="43" spans="1:3" x14ac:dyDescent="0.25">
      <c r="C43" s="81"/>
    </row>
    <row r="44" spans="1:3" x14ac:dyDescent="0.25">
      <c r="C44" s="81"/>
    </row>
    <row r="45" spans="1:3" x14ac:dyDescent="0.25">
      <c r="C45" s="81"/>
    </row>
    <row r="46" spans="1:3" x14ac:dyDescent="0.25">
      <c r="A46" t="s">
        <v>41</v>
      </c>
      <c r="C46" s="81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90" zoomScaleNormal="90" workbookViewId="0">
      <selection activeCell="C13" sqref="C13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42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43</v>
      </c>
      <c r="B5" s="27">
        <v>4005</v>
      </c>
      <c r="C5" s="27">
        <v>267</v>
      </c>
      <c r="D5" s="27">
        <f>'VMD+BOOST INT'!$B5/'VMD+BOOST INT'!$C5</f>
        <v>15</v>
      </c>
      <c r="E5" s="28">
        <v>1</v>
      </c>
      <c r="G5" s="72" t="s">
        <v>120</v>
      </c>
    </row>
    <row r="6" spans="1:7" x14ac:dyDescent="0.25">
      <c r="A6" s="9" t="s">
        <v>96</v>
      </c>
      <c r="B6" s="10">
        <v>4800</v>
      </c>
      <c r="C6" s="10">
        <v>320</v>
      </c>
      <c r="D6" s="10">
        <f>'VMD+BOOST INT'!$B6/'VMD+BOOST INT'!$C6</f>
        <v>15</v>
      </c>
      <c r="E6" s="11">
        <v>1</v>
      </c>
    </row>
    <row r="8" spans="1:7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7" x14ac:dyDescent="0.25">
      <c r="A9" t="s">
        <v>33</v>
      </c>
      <c r="B9" t="s">
        <v>43</v>
      </c>
      <c r="C9" s="81" t="s">
        <v>3</v>
      </c>
      <c r="D9">
        <v>3885</v>
      </c>
      <c r="E9">
        <v>95</v>
      </c>
      <c r="F9">
        <v>3805</v>
      </c>
      <c r="G9">
        <v>95</v>
      </c>
    </row>
    <row r="10" spans="1:7" x14ac:dyDescent="0.25">
      <c r="C10" s="81" t="s">
        <v>7</v>
      </c>
      <c r="D10">
        <v>4800</v>
      </c>
      <c r="E10">
        <v>35</v>
      </c>
    </row>
    <row r="11" spans="1:7" x14ac:dyDescent="0.25">
      <c r="C11" s="81" t="s">
        <v>7</v>
      </c>
      <c r="D11">
        <v>4320</v>
      </c>
      <c r="E11">
        <v>50</v>
      </c>
    </row>
    <row r="12" spans="1:7" x14ac:dyDescent="0.25">
      <c r="B12" t="s">
        <v>96</v>
      </c>
      <c r="C12" s="81" t="s">
        <v>3</v>
      </c>
      <c r="D12">
        <v>4656</v>
      </c>
      <c r="E12">
        <v>95</v>
      </c>
    </row>
    <row r="13" spans="1:7" x14ac:dyDescent="0.25">
      <c r="C13" s="81" t="s">
        <v>7</v>
      </c>
      <c r="D13">
        <v>5280</v>
      </c>
      <c r="E13">
        <v>5</v>
      </c>
    </row>
    <row r="14" spans="1:7" x14ac:dyDescent="0.25">
      <c r="C14" s="81" t="s">
        <v>9</v>
      </c>
      <c r="D14">
        <v>5376</v>
      </c>
    </row>
    <row r="15" spans="1:7" x14ac:dyDescent="0.25">
      <c r="A15" t="s">
        <v>37</v>
      </c>
      <c r="B15" t="s">
        <v>51</v>
      </c>
      <c r="C15" s="81" t="s">
        <v>9</v>
      </c>
      <c r="D15">
        <v>240</v>
      </c>
      <c r="F15">
        <v>384</v>
      </c>
    </row>
    <row r="16" spans="1:7" x14ac:dyDescent="0.25">
      <c r="C16" s="81" t="s">
        <v>7</v>
      </c>
      <c r="D16">
        <v>144</v>
      </c>
      <c r="E16">
        <v>5</v>
      </c>
      <c r="F16">
        <v>240</v>
      </c>
      <c r="G16">
        <v>5</v>
      </c>
    </row>
    <row r="17" spans="2:7" x14ac:dyDescent="0.25">
      <c r="B17" t="s">
        <v>49</v>
      </c>
      <c r="C17" s="81" t="s">
        <v>7</v>
      </c>
      <c r="D17">
        <v>1200</v>
      </c>
      <c r="E17">
        <v>15</v>
      </c>
      <c r="F17">
        <v>1200</v>
      </c>
      <c r="G17">
        <v>20</v>
      </c>
    </row>
    <row r="18" spans="2:7" x14ac:dyDescent="0.25">
      <c r="C18" s="81" t="s">
        <v>7</v>
      </c>
      <c r="D18">
        <v>800</v>
      </c>
      <c r="E18">
        <v>30</v>
      </c>
      <c r="F18">
        <v>800</v>
      </c>
      <c r="G18">
        <v>35</v>
      </c>
    </row>
    <row r="19" spans="2:7" x14ac:dyDescent="0.25">
      <c r="C19" s="81" t="s">
        <v>7</v>
      </c>
      <c r="D19">
        <v>400</v>
      </c>
      <c r="E19">
        <v>40</v>
      </c>
      <c r="F19">
        <v>400</v>
      </c>
      <c r="G19">
        <v>55</v>
      </c>
    </row>
    <row r="20" spans="2:7" x14ac:dyDescent="0.25">
      <c r="B20" t="s">
        <v>48</v>
      </c>
      <c r="C20" s="81" t="s">
        <v>7</v>
      </c>
      <c r="D20">
        <v>400</v>
      </c>
      <c r="E20">
        <v>10</v>
      </c>
    </row>
    <row r="21" spans="2:7" x14ac:dyDescent="0.25">
      <c r="B21" t="s">
        <v>39</v>
      </c>
      <c r="C21" s="81" t="s">
        <v>7</v>
      </c>
      <c r="D21">
        <v>1600</v>
      </c>
      <c r="E21">
        <v>5</v>
      </c>
    </row>
    <row r="22" spans="2:7" x14ac:dyDescent="0.25">
      <c r="C22" s="81" t="s">
        <v>7</v>
      </c>
      <c r="D22">
        <v>800</v>
      </c>
      <c r="E22">
        <v>30</v>
      </c>
    </row>
    <row r="23" spans="2:7" x14ac:dyDescent="0.25">
      <c r="C23" s="81" t="s">
        <v>8</v>
      </c>
      <c r="D23">
        <v>320</v>
      </c>
      <c r="F23">
        <v>400</v>
      </c>
    </row>
    <row r="24" spans="2:7" x14ac:dyDescent="0.25">
      <c r="B24" t="s">
        <v>44</v>
      </c>
      <c r="C24" s="81" t="s">
        <v>7</v>
      </c>
      <c r="D24">
        <v>1500</v>
      </c>
      <c r="E24">
        <v>3</v>
      </c>
    </row>
    <row r="25" spans="2:7" x14ac:dyDescent="0.25">
      <c r="C25" s="81" t="s">
        <v>8</v>
      </c>
      <c r="D25">
        <v>500</v>
      </c>
    </row>
    <row r="26" spans="2:7" x14ac:dyDescent="0.25">
      <c r="B26" t="s">
        <v>40</v>
      </c>
      <c r="C26" s="81" t="s">
        <v>9</v>
      </c>
      <c r="D26">
        <v>5136</v>
      </c>
    </row>
    <row r="28" spans="2:7" x14ac:dyDescent="0.25">
      <c r="C28" s="81"/>
    </row>
    <row r="29" spans="2:7" x14ac:dyDescent="0.25">
      <c r="C29" s="81"/>
    </row>
    <row r="30" spans="2:7" x14ac:dyDescent="0.25">
      <c r="C30" s="81"/>
    </row>
    <row r="31" spans="2:7" x14ac:dyDescent="0.25">
      <c r="C31" s="81"/>
    </row>
    <row r="32" spans="2:7" x14ac:dyDescent="0.25">
      <c r="C32" s="81"/>
    </row>
    <row r="33" spans="1:3" x14ac:dyDescent="0.25">
      <c r="C33" s="81"/>
    </row>
    <row r="34" spans="1:3" x14ac:dyDescent="0.25">
      <c r="C34" s="81"/>
    </row>
    <row r="35" spans="1:3" x14ac:dyDescent="0.25">
      <c r="C35" s="81"/>
    </row>
    <row r="36" spans="1:3" x14ac:dyDescent="0.25">
      <c r="C36" s="81"/>
    </row>
    <row r="37" spans="1:3" x14ac:dyDescent="0.25">
      <c r="C37" s="81"/>
    </row>
    <row r="38" spans="1:3" x14ac:dyDescent="0.25">
      <c r="C38" s="81"/>
    </row>
    <row r="39" spans="1:3" x14ac:dyDescent="0.25">
      <c r="C39" s="81"/>
    </row>
    <row r="40" spans="1:3" x14ac:dyDescent="0.25">
      <c r="C40" s="81"/>
    </row>
    <row r="41" spans="1:3" x14ac:dyDescent="0.25">
      <c r="C41" s="81"/>
    </row>
    <row r="42" spans="1:3" x14ac:dyDescent="0.25">
      <c r="C42" s="81"/>
    </row>
    <row r="43" spans="1:3" x14ac:dyDescent="0.25">
      <c r="C43" s="81"/>
    </row>
    <row r="44" spans="1:3" x14ac:dyDescent="0.25">
      <c r="C44" s="81"/>
    </row>
    <row r="45" spans="1:3" x14ac:dyDescent="0.25">
      <c r="C45" s="81"/>
    </row>
    <row r="46" spans="1:3" x14ac:dyDescent="0.25">
      <c r="A46" t="s">
        <v>41</v>
      </c>
      <c r="C46" s="81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7" zoomScale="80" zoomScaleNormal="80" workbookViewId="0">
      <selection activeCell="D13" sqref="D13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45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26</v>
      </c>
      <c r="B5" s="27">
        <v>4005</v>
      </c>
      <c r="C5" s="27">
        <v>267</v>
      </c>
      <c r="D5" s="27">
        <v>15</v>
      </c>
      <c r="E5" s="28">
        <v>1</v>
      </c>
      <c r="G5" s="72" t="s">
        <v>124</v>
      </c>
    </row>
    <row r="6" spans="1:7" x14ac:dyDescent="0.25">
      <c r="A6" s="53" t="s">
        <v>36</v>
      </c>
      <c r="B6" s="54">
        <v>4005</v>
      </c>
      <c r="C6" s="54">
        <v>267</v>
      </c>
      <c r="D6" s="54">
        <v>15</v>
      </c>
      <c r="E6" s="55">
        <v>1</v>
      </c>
    </row>
    <row r="7" spans="1:7" x14ac:dyDescent="0.25">
      <c r="A7" s="2" t="s">
        <v>46</v>
      </c>
      <c r="B7" s="3">
        <v>1068</v>
      </c>
      <c r="C7" s="3">
        <v>267</v>
      </c>
      <c r="D7" s="3">
        <v>4</v>
      </c>
      <c r="E7" s="4">
        <v>2</v>
      </c>
    </row>
    <row r="9" spans="1:7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7" x14ac:dyDescent="0.25">
      <c r="A10" s="42" t="s">
        <v>33</v>
      </c>
      <c r="B10" s="43" t="s">
        <v>26</v>
      </c>
      <c r="C10" s="41" t="s">
        <v>3</v>
      </c>
      <c r="D10" s="43">
        <v>3885</v>
      </c>
      <c r="E10" s="43">
        <v>95</v>
      </c>
      <c r="F10" s="43">
        <v>3805</v>
      </c>
      <c r="G10" s="44">
        <v>95</v>
      </c>
    </row>
    <row r="11" spans="1:7" x14ac:dyDescent="0.25">
      <c r="A11" s="45"/>
      <c r="B11" s="46"/>
      <c r="C11" s="47" t="s">
        <v>7</v>
      </c>
      <c r="D11" s="46">
        <v>4800</v>
      </c>
      <c r="E11" s="46">
        <v>35</v>
      </c>
      <c r="F11" s="46"/>
      <c r="G11" s="48"/>
    </row>
    <row r="12" spans="1:7" x14ac:dyDescent="0.25">
      <c r="A12" s="42"/>
      <c r="B12" s="43"/>
      <c r="C12" s="41" t="s">
        <v>7</v>
      </c>
      <c r="D12" s="43">
        <v>4320</v>
      </c>
      <c r="E12" s="43">
        <v>50</v>
      </c>
      <c r="F12" s="43"/>
      <c r="G12" s="44"/>
    </row>
    <row r="13" spans="1:7" x14ac:dyDescent="0.25">
      <c r="A13" s="45"/>
      <c r="B13" s="46"/>
      <c r="C13" s="47" t="s">
        <v>9</v>
      </c>
      <c r="D13" s="46">
        <v>4285</v>
      </c>
      <c r="E13" s="46"/>
      <c r="F13" s="46"/>
      <c r="G13" s="48"/>
    </row>
    <row r="14" spans="1:7" x14ac:dyDescent="0.25">
      <c r="A14" s="42"/>
      <c r="B14" s="43" t="s">
        <v>36</v>
      </c>
      <c r="C14" s="41" t="s">
        <v>3</v>
      </c>
      <c r="D14" s="43">
        <v>3885</v>
      </c>
      <c r="E14" s="43">
        <v>95</v>
      </c>
      <c r="F14" s="43">
        <v>3805</v>
      </c>
      <c r="G14" s="44">
        <v>95</v>
      </c>
    </row>
    <row r="15" spans="1:7" x14ac:dyDescent="0.25">
      <c r="A15" s="45"/>
      <c r="B15" s="46"/>
      <c r="C15" s="47" t="s">
        <v>9</v>
      </c>
      <c r="D15" s="46">
        <v>4285</v>
      </c>
      <c r="E15" s="46"/>
      <c r="F15" s="46"/>
      <c r="G15" s="48"/>
    </row>
    <row r="16" spans="1:7" x14ac:dyDescent="0.25">
      <c r="A16" s="42"/>
      <c r="B16" s="43" t="s">
        <v>46</v>
      </c>
      <c r="C16" s="41" t="s">
        <v>3</v>
      </c>
      <c r="D16" s="43">
        <v>1036</v>
      </c>
      <c r="E16" s="43">
        <v>95</v>
      </c>
      <c r="F16" s="43">
        <v>1015</v>
      </c>
      <c r="G16" s="44">
        <v>95</v>
      </c>
    </row>
    <row r="17" spans="1:7" x14ac:dyDescent="0.25">
      <c r="A17" s="45" t="s">
        <v>37</v>
      </c>
      <c r="B17" s="46" t="s">
        <v>47</v>
      </c>
      <c r="C17" s="47" t="s">
        <v>9</v>
      </c>
      <c r="D17" s="46">
        <v>240</v>
      </c>
      <c r="E17" s="46"/>
      <c r="F17" s="46">
        <v>384</v>
      </c>
      <c r="G17" s="48"/>
    </row>
    <row r="18" spans="1:7" x14ac:dyDescent="0.25">
      <c r="A18" s="42"/>
      <c r="B18" s="43"/>
      <c r="C18" s="41" t="s">
        <v>7</v>
      </c>
      <c r="D18" s="43">
        <v>144</v>
      </c>
      <c r="E18" s="43">
        <v>5</v>
      </c>
      <c r="F18" s="43">
        <v>240</v>
      </c>
      <c r="G18" s="44">
        <v>5</v>
      </c>
    </row>
    <row r="19" spans="1:7" x14ac:dyDescent="0.25">
      <c r="A19" s="45"/>
      <c r="B19" s="46" t="s">
        <v>48</v>
      </c>
      <c r="C19" s="47" t="s">
        <v>7</v>
      </c>
      <c r="D19" s="46">
        <v>1200</v>
      </c>
      <c r="E19" s="46">
        <v>15</v>
      </c>
      <c r="F19" s="46">
        <v>1200</v>
      </c>
      <c r="G19" s="48">
        <v>20</v>
      </c>
    </row>
    <row r="20" spans="1:7" x14ac:dyDescent="0.25">
      <c r="A20" s="42"/>
      <c r="B20" s="43"/>
      <c r="C20" s="41" t="s">
        <v>7</v>
      </c>
      <c r="D20" s="43">
        <v>800</v>
      </c>
      <c r="E20" s="43">
        <v>30</v>
      </c>
      <c r="F20" s="43">
        <v>800</v>
      </c>
      <c r="G20" s="44">
        <v>35</v>
      </c>
    </row>
    <row r="21" spans="1:7" x14ac:dyDescent="0.25">
      <c r="A21" s="45"/>
      <c r="B21" s="46"/>
      <c r="C21" s="47" t="s">
        <v>7</v>
      </c>
      <c r="D21" s="46">
        <v>400</v>
      </c>
      <c r="E21" s="46">
        <v>40</v>
      </c>
      <c r="F21" s="46">
        <v>400</v>
      </c>
      <c r="G21" s="48">
        <v>55</v>
      </c>
    </row>
    <row r="22" spans="1:7" x14ac:dyDescent="0.25">
      <c r="A22" s="42"/>
      <c r="B22" s="43" t="s">
        <v>49</v>
      </c>
      <c r="C22" s="41" t="s">
        <v>7</v>
      </c>
      <c r="D22" s="43">
        <v>400</v>
      </c>
      <c r="E22" s="43">
        <v>10</v>
      </c>
      <c r="F22" s="43"/>
      <c r="G22" s="44"/>
    </row>
    <row r="23" spans="1:7" x14ac:dyDescent="0.25">
      <c r="A23" s="45"/>
      <c r="B23" s="46" t="s">
        <v>39</v>
      </c>
      <c r="C23" s="47" t="s">
        <v>7</v>
      </c>
      <c r="D23" s="46">
        <v>1600</v>
      </c>
      <c r="E23" s="46">
        <v>5</v>
      </c>
      <c r="F23" s="46"/>
      <c r="G23" s="48"/>
    </row>
    <row r="24" spans="1:7" x14ac:dyDescent="0.25">
      <c r="A24" s="42"/>
      <c r="B24" s="43"/>
      <c r="C24" s="41" t="s">
        <v>7</v>
      </c>
      <c r="D24" s="43">
        <v>800</v>
      </c>
      <c r="E24" s="43">
        <v>30</v>
      </c>
      <c r="F24" s="43"/>
      <c r="G24" s="44"/>
    </row>
    <row r="25" spans="1:7" x14ac:dyDescent="0.25">
      <c r="A25" s="45"/>
      <c r="B25" s="46"/>
      <c r="C25" s="47" t="s">
        <v>8</v>
      </c>
      <c r="D25" s="46">
        <v>320</v>
      </c>
      <c r="E25" s="46"/>
      <c r="F25" s="46">
        <v>400</v>
      </c>
      <c r="G25" s="48"/>
    </row>
    <row r="26" spans="1:7" x14ac:dyDescent="0.25">
      <c r="A26" s="42"/>
      <c r="B26" s="43" t="s">
        <v>40</v>
      </c>
      <c r="C26" s="41" t="s">
        <v>9</v>
      </c>
      <c r="D26" s="43">
        <v>5128</v>
      </c>
      <c r="E26" s="43"/>
      <c r="F26" s="43"/>
      <c r="G26" s="44"/>
    </row>
    <row r="27" spans="1:7" x14ac:dyDescent="0.25">
      <c r="A27" s="45"/>
      <c r="B27" s="46"/>
      <c r="C27" s="47"/>
      <c r="D27" s="46"/>
      <c r="E27" s="46"/>
      <c r="F27" s="46"/>
      <c r="G27" s="48"/>
    </row>
    <row r="28" spans="1:7" x14ac:dyDescent="0.25">
      <c r="A28" s="42"/>
      <c r="B28" s="43"/>
      <c r="C28" s="41"/>
      <c r="D28" s="43"/>
      <c r="E28" s="43"/>
      <c r="F28" s="43"/>
      <c r="G28" s="44"/>
    </row>
    <row r="29" spans="1:7" x14ac:dyDescent="0.25">
      <c r="A29" s="45"/>
      <c r="B29" s="46"/>
      <c r="C29" s="47"/>
      <c r="D29" s="46"/>
      <c r="E29" s="46"/>
      <c r="F29" s="46"/>
      <c r="G29" s="48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5"/>
      <c r="B31" s="46"/>
      <c r="C31" s="47"/>
      <c r="D31" s="46"/>
      <c r="E31" s="46"/>
      <c r="F31" s="46"/>
      <c r="G31" s="48"/>
    </row>
    <row r="32" spans="1:7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2"/>
      <c r="B44" s="43"/>
      <c r="C44" s="41"/>
      <c r="D44" s="43"/>
      <c r="E44" s="43"/>
      <c r="F44" s="43"/>
      <c r="G44" s="44"/>
    </row>
    <row r="45" spans="1:7" x14ac:dyDescent="0.25">
      <c r="A45" s="45"/>
      <c r="B45" s="46"/>
      <c r="C45" s="47"/>
      <c r="D45" s="46"/>
      <c r="E45" s="46"/>
      <c r="F45" s="46"/>
      <c r="G45" s="48"/>
    </row>
    <row r="46" spans="1:7" x14ac:dyDescent="0.25">
      <c r="A46" s="42" t="s">
        <v>41</v>
      </c>
      <c r="B46" s="43"/>
      <c r="C46" s="41"/>
      <c r="D46" s="43"/>
      <c r="E46" s="43"/>
      <c r="F46" s="43"/>
      <c r="G46" s="44"/>
    </row>
    <row r="47" spans="1:7" x14ac:dyDescent="0.25">
      <c r="A47" s="5"/>
      <c r="B47" s="6"/>
      <c r="C47" s="7"/>
      <c r="D47" s="6"/>
      <c r="E47" s="6"/>
      <c r="F47" s="6"/>
      <c r="G47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4" zoomScale="90" zoomScaleNormal="90" workbookViewId="0">
      <selection activeCell="B21" sqref="B21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50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43</v>
      </c>
      <c r="B5" s="27">
        <v>4005</v>
      </c>
      <c r="C5" s="27">
        <v>267</v>
      </c>
      <c r="D5" s="27">
        <v>15</v>
      </c>
      <c r="E5" s="28">
        <v>1</v>
      </c>
      <c r="G5" s="72" t="s">
        <v>124</v>
      </c>
    </row>
    <row r="6" spans="1:7" x14ac:dyDescent="0.25">
      <c r="A6" s="53" t="s">
        <v>36</v>
      </c>
      <c r="B6" s="54">
        <v>4005</v>
      </c>
      <c r="C6" s="54">
        <v>267</v>
      </c>
      <c r="D6" s="54">
        <v>15</v>
      </c>
      <c r="E6" s="55">
        <v>1</v>
      </c>
    </row>
    <row r="7" spans="1:7" x14ac:dyDescent="0.25">
      <c r="A7" s="2" t="s">
        <v>46</v>
      </c>
      <c r="B7" s="3">
        <v>1068</v>
      </c>
      <c r="C7" s="3">
        <v>267</v>
      </c>
      <c r="D7" s="3">
        <v>4</v>
      </c>
      <c r="E7" s="4">
        <v>2</v>
      </c>
    </row>
    <row r="9" spans="1:7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7" x14ac:dyDescent="0.25">
      <c r="A10" s="42" t="s">
        <v>33</v>
      </c>
      <c r="B10" s="43" t="s">
        <v>43</v>
      </c>
      <c r="C10" s="41" t="s">
        <v>3</v>
      </c>
      <c r="D10" s="43">
        <v>3885</v>
      </c>
      <c r="E10" s="43">
        <v>95</v>
      </c>
      <c r="F10" s="43">
        <v>3805</v>
      </c>
      <c r="G10" s="44">
        <v>95</v>
      </c>
    </row>
    <row r="11" spans="1:7" x14ac:dyDescent="0.25">
      <c r="A11" s="45"/>
      <c r="B11" s="46"/>
      <c r="C11" s="47" t="s">
        <v>7</v>
      </c>
      <c r="D11" s="46">
        <v>4800</v>
      </c>
      <c r="E11" s="46">
        <v>35</v>
      </c>
      <c r="F11" s="46"/>
      <c r="G11" s="48"/>
    </row>
    <row r="12" spans="1:7" x14ac:dyDescent="0.25">
      <c r="A12" s="42"/>
      <c r="B12" s="43"/>
      <c r="C12" s="41" t="s">
        <v>7</v>
      </c>
      <c r="D12" s="43">
        <v>4320</v>
      </c>
      <c r="E12" s="43">
        <v>50</v>
      </c>
      <c r="F12" s="43"/>
      <c r="G12" s="44"/>
    </row>
    <row r="13" spans="1:7" x14ac:dyDescent="0.25">
      <c r="A13" s="45"/>
      <c r="B13" s="46"/>
      <c r="C13" s="47" t="s">
        <v>9</v>
      </c>
      <c r="D13" s="46">
        <v>4285</v>
      </c>
      <c r="E13" s="46"/>
      <c r="F13" s="46"/>
      <c r="G13" s="48"/>
    </row>
    <row r="14" spans="1:7" x14ac:dyDescent="0.25">
      <c r="A14" s="42"/>
      <c r="B14" s="43" t="s">
        <v>36</v>
      </c>
      <c r="C14" s="41" t="s">
        <v>3</v>
      </c>
      <c r="D14" s="43">
        <v>3885</v>
      </c>
      <c r="E14" s="43">
        <v>95</v>
      </c>
      <c r="F14" s="43">
        <v>3805</v>
      </c>
      <c r="G14" s="44">
        <v>95</v>
      </c>
    </row>
    <row r="15" spans="1:7" x14ac:dyDescent="0.25">
      <c r="A15" s="45"/>
      <c r="B15" s="46"/>
      <c r="C15" s="47" t="s">
        <v>9</v>
      </c>
      <c r="D15" s="46">
        <v>4285</v>
      </c>
      <c r="E15" s="46"/>
      <c r="F15" s="46"/>
      <c r="G15" s="48"/>
    </row>
    <row r="16" spans="1:7" x14ac:dyDescent="0.25">
      <c r="A16" s="42"/>
      <c r="B16" s="43" t="s">
        <v>46</v>
      </c>
      <c r="C16" s="41" t="s">
        <v>3</v>
      </c>
      <c r="D16" s="43">
        <v>1036</v>
      </c>
      <c r="E16" s="43">
        <v>95</v>
      </c>
      <c r="F16" s="43">
        <v>1015</v>
      </c>
      <c r="G16" s="44">
        <v>95</v>
      </c>
    </row>
    <row r="17" spans="1:7" x14ac:dyDescent="0.25">
      <c r="A17" s="45" t="s">
        <v>37</v>
      </c>
      <c r="B17" s="46" t="s">
        <v>51</v>
      </c>
      <c r="C17" s="47" t="s">
        <v>9</v>
      </c>
      <c r="D17" s="46">
        <v>240</v>
      </c>
      <c r="E17" s="46"/>
      <c r="F17" s="46">
        <v>384</v>
      </c>
      <c r="G17" s="48"/>
    </row>
    <row r="18" spans="1:7" x14ac:dyDescent="0.25">
      <c r="A18" s="42"/>
      <c r="B18" s="43"/>
      <c r="C18" s="41" t="s">
        <v>7</v>
      </c>
      <c r="D18" s="43">
        <v>144</v>
      </c>
      <c r="E18" s="43">
        <v>5</v>
      </c>
      <c r="F18" s="43">
        <v>240</v>
      </c>
      <c r="G18" s="44">
        <v>5</v>
      </c>
    </row>
    <row r="19" spans="1:7" x14ac:dyDescent="0.25">
      <c r="A19" s="45"/>
      <c r="B19" s="46" t="s">
        <v>49</v>
      </c>
      <c r="C19" s="47" t="s">
        <v>7</v>
      </c>
      <c r="D19" s="46">
        <v>1200</v>
      </c>
      <c r="E19" s="46">
        <v>15</v>
      </c>
      <c r="F19" s="46">
        <v>1200</v>
      </c>
      <c r="G19" s="48">
        <v>20</v>
      </c>
    </row>
    <row r="20" spans="1:7" x14ac:dyDescent="0.25">
      <c r="A20" s="42"/>
      <c r="B20" s="43"/>
      <c r="C20" s="41" t="s">
        <v>7</v>
      </c>
      <c r="D20" s="43">
        <v>800</v>
      </c>
      <c r="E20" s="43">
        <v>30</v>
      </c>
      <c r="F20" s="43">
        <v>800</v>
      </c>
      <c r="G20" s="44">
        <v>35</v>
      </c>
    </row>
    <row r="21" spans="1:7" x14ac:dyDescent="0.25">
      <c r="A21" s="45"/>
      <c r="B21" s="46"/>
      <c r="C21" s="47" t="s">
        <v>7</v>
      </c>
      <c r="D21" s="46">
        <v>400</v>
      </c>
      <c r="E21" s="46">
        <v>40</v>
      </c>
      <c r="F21" s="46">
        <v>400</v>
      </c>
      <c r="G21" s="48">
        <v>55</v>
      </c>
    </row>
    <row r="22" spans="1:7" x14ac:dyDescent="0.25">
      <c r="A22" s="42"/>
      <c r="B22" s="43" t="s">
        <v>48</v>
      </c>
      <c r="C22" s="41" t="s">
        <v>7</v>
      </c>
      <c r="D22" s="43">
        <v>400</v>
      </c>
      <c r="E22" s="43">
        <v>10</v>
      </c>
      <c r="F22" s="43"/>
      <c r="G22" s="44"/>
    </row>
    <row r="23" spans="1:7" x14ac:dyDescent="0.25">
      <c r="A23" s="45"/>
      <c r="B23" s="46" t="s">
        <v>39</v>
      </c>
      <c r="C23" s="47" t="s">
        <v>7</v>
      </c>
      <c r="D23" s="46">
        <v>1600</v>
      </c>
      <c r="E23" s="46">
        <v>5</v>
      </c>
      <c r="F23" s="46"/>
      <c r="G23" s="48"/>
    </row>
    <row r="24" spans="1:7" x14ac:dyDescent="0.25">
      <c r="A24" s="42"/>
      <c r="B24" s="43"/>
      <c r="C24" s="41" t="s">
        <v>7</v>
      </c>
      <c r="D24" s="43">
        <v>800</v>
      </c>
      <c r="E24" s="43">
        <v>30</v>
      </c>
      <c r="F24" s="43"/>
      <c r="G24" s="44"/>
    </row>
    <row r="25" spans="1:7" x14ac:dyDescent="0.25">
      <c r="A25" s="45"/>
      <c r="B25" s="46"/>
      <c r="C25" s="47" t="s">
        <v>8</v>
      </c>
      <c r="D25" s="46">
        <v>320</v>
      </c>
      <c r="E25" s="46"/>
      <c r="F25" s="46">
        <v>400</v>
      </c>
      <c r="G25" s="48"/>
    </row>
    <row r="26" spans="1:7" x14ac:dyDescent="0.25">
      <c r="A26" s="42"/>
      <c r="B26" s="43" t="s">
        <v>44</v>
      </c>
      <c r="C26" s="41" t="s">
        <v>7</v>
      </c>
      <c r="D26" s="43">
        <v>1500</v>
      </c>
      <c r="E26" s="43">
        <v>3</v>
      </c>
      <c r="F26" s="43"/>
      <c r="G26" s="44"/>
    </row>
    <row r="27" spans="1:7" x14ac:dyDescent="0.25">
      <c r="A27" s="45"/>
      <c r="B27" s="46"/>
      <c r="C27" s="47" t="s">
        <v>8</v>
      </c>
      <c r="D27" s="46">
        <v>500</v>
      </c>
      <c r="E27" s="46"/>
      <c r="F27" s="46"/>
      <c r="G27" s="48"/>
    </row>
    <row r="28" spans="1:7" x14ac:dyDescent="0.25">
      <c r="A28" s="42"/>
      <c r="B28" s="43" t="s">
        <v>40</v>
      </c>
      <c r="C28" s="41" t="s">
        <v>9</v>
      </c>
      <c r="D28" s="43">
        <v>5128</v>
      </c>
      <c r="E28" s="43"/>
      <c r="F28" s="43"/>
      <c r="G28" s="44"/>
    </row>
    <row r="29" spans="1:7" x14ac:dyDescent="0.25">
      <c r="A29" s="45"/>
      <c r="B29" s="46"/>
      <c r="C29" s="47" t="s">
        <v>8</v>
      </c>
      <c r="D29" s="46">
        <v>500</v>
      </c>
      <c r="E29" s="46"/>
      <c r="F29" s="46"/>
      <c r="G29" s="48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5"/>
      <c r="B31" s="46"/>
      <c r="C31" s="47"/>
      <c r="D31" s="46"/>
      <c r="E31" s="46"/>
      <c r="F31" s="46"/>
      <c r="G31" s="48"/>
    </row>
    <row r="32" spans="1:7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2"/>
      <c r="B44" s="43"/>
      <c r="C44" s="41"/>
      <c r="D44" s="43"/>
      <c r="E44" s="43"/>
      <c r="F44" s="43"/>
      <c r="G44" s="44"/>
    </row>
    <row r="45" spans="1:7" x14ac:dyDescent="0.25">
      <c r="A45" s="45"/>
      <c r="B45" s="46"/>
      <c r="C45" s="47"/>
      <c r="D45" s="46"/>
      <c r="E45" s="46"/>
      <c r="F45" s="46"/>
      <c r="G45" s="48"/>
    </row>
    <row r="46" spans="1:7" x14ac:dyDescent="0.25">
      <c r="A46" s="42" t="s">
        <v>41</v>
      </c>
      <c r="B46" s="43"/>
      <c r="C46" s="41"/>
      <c r="D46" s="43"/>
      <c r="E46" s="43"/>
      <c r="F46" s="43"/>
      <c r="G46" s="44"/>
    </row>
    <row r="47" spans="1:7" x14ac:dyDescent="0.25">
      <c r="A47" s="5"/>
      <c r="B47" s="6"/>
      <c r="C47" s="7"/>
      <c r="D47" s="6"/>
      <c r="E47" s="6"/>
      <c r="F47" s="6"/>
      <c r="G47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7" zoomScaleNormal="100" workbookViewId="0">
      <selection activeCell="G5" sqref="G5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52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26</v>
      </c>
      <c r="B5" s="27">
        <v>4005</v>
      </c>
      <c r="C5" s="27">
        <v>267</v>
      </c>
      <c r="D5" s="27">
        <v>15</v>
      </c>
      <c r="E5" s="28">
        <v>1</v>
      </c>
      <c r="G5" s="72" t="s">
        <v>123</v>
      </c>
    </row>
    <row r="6" spans="1:7" x14ac:dyDescent="0.25">
      <c r="A6" s="9" t="s">
        <v>53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26"/>
      <c r="B7" s="27"/>
      <c r="C7" s="27"/>
      <c r="D7" s="27"/>
      <c r="E7" s="28"/>
    </row>
    <row r="9" spans="1:7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7" x14ac:dyDescent="0.25">
      <c r="A10" s="42" t="s">
        <v>33</v>
      </c>
      <c r="B10" s="43" t="s">
        <v>26</v>
      </c>
      <c r="C10" s="41" t="s">
        <v>3</v>
      </c>
      <c r="D10" s="43">
        <v>3885</v>
      </c>
      <c r="E10" s="43">
        <v>95</v>
      </c>
      <c r="F10" s="43">
        <v>3805</v>
      </c>
      <c r="G10" s="44">
        <v>95</v>
      </c>
    </row>
    <row r="11" spans="1:7" x14ac:dyDescent="0.25">
      <c r="A11" s="45"/>
      <c r="B11" s="46"/>
      <c r="C11" s="47" t="s">
        <v>9</v>
      </c>
      <c r="D11" s="46">
        <v>4285</v>
      </c>
      <c r="E11" s="46"/>
      <c r="F11" s="46"/>
      <c r="G11" s="48"/>
    </row>
    <row r="12" spans="1:7" x14ac:dyDescent="0.25">
      <c r="A12" s="42"/>
      <c r="B12" s="43" t="s">
        <v>53</v>
      </c>
      <c r="C12" s="41" t="s">
        <v>3</v>
      </c>
      <c r="D12" s="43">
        <v>3885</v>
      </c>
      <c r="E12" s="43">
        <v>95</v>
      </c>
      <c r="F12" s="43">
        <v>3805</v>
      </c>
      <c r="G12" s="44">
        <v>95</v>
      </c>
    </row>
    <row r="13" spans="1:7" x14ac:dyDescent="0.25">
      <c r="A13" s="45"/>
      <c r="B13" s="46"/>
      <c r="C13" s="47" t="s">
        <v>9</v>
      </c>
      <c r="D13" s="46">
        <v>4285</v>
      </c>
      <c r="E13" s="46"/>
      <c r="F13" s="46"/>
      <c r="G13" s="48"/>
    </row>
    <row r="14" spans="1:7" x14ac:dyDescent="0.25">
      <c r="A14" s="42" t="s">
        <v>37</v>
      </c>
      <c r="B14" s="43" t="s">
        <v>47</v>
      </c>
      <c r="C14" s="41" t="s">
        <v>7</v>
      </c>
      <c r="D14" s="43">
        <v>300</v>
      </c>
      <c r="E14" s="43">
        <v>10</v>
      </c>
      <c r="F14" s="43">
        <v>500</v>
      </c>
      <c r="G14" s="44">
        <v>10</v>
      </c>
    </row>
    <row r="15" spans="1:7" x14ac:dyDescent="0.25">
      <c r="A15" s="45"/>
      <c r="B15" s="46" t="s">
        <v>48</v>
      </c>
      <c r="C15" s="47" t="s">
        <v>7</v>
      </c>
      <c r="D15" s="46">
        <v>1800</v>
      </c>
      <c r="E15" s="46">
        <v>35</v>
      </c>
      <c r="F15" s="46">
        <v>1800</v>
      </c>
      <c r="G15" s="48">
        <v>40</v>
      </c>
    </row>
    <row r="16" spans="1:7" x14ac:dyDescent="0.25">
      <c r="A16" s="42"/>
      <c r="B16" s="43" t="s">
        <v>49</v>
      </c>
      <c r="C16" s="47" t="s">
        <v>7</v>
      </c>
      <c r="D16" s="46">
        <v>480</v>
      </c>
      <c r="E16" s="46">
        <v>10</v>
      </c>
      <c r="F16" s="46">
        <v>480</v>
      </c>
      <c r="G16" s="48">
        <v>15</v>
      </c>
    </row>
    <row r="17" spans="1:7" x14ac:dyDescent="0.25">
      <c r="A17" s="42"/>
      <c r="B17" s="43" t="s">
        <v>39</v>
      </c>
      <c r="C17" s="41" t="s">
        <v>7</v>
      </c>
      <c r="D17" s="43">
        <v>2250</v>
      </c>
      <c r="E17" s="43">
        <v>2</v>
      </c>
      <c r="F17" s="43"/>
      <c r="G17" s="44"/>
    </row>
    <row r="18" spans="1:7" x14ac:dyDescent="0.25">
      <c r="A18" s="45"/>
      <c r="B18" s="46"/>
      <c r="C18" s="47" t="s">
        <v>8</v>
      </c>
      <c r="D18" s="46">
        <v>300</v>
      </c>
      <c r="E18" s="46"/>
      <c r="F18" s="46">
        <v>500</v>
      </c>
      <c r="G18" s="48"/>
    </row>
    <row r="19" spans="1:7" x14ac:dyDescent="0.25">
      <c r="A19" s="45"/>
      <c r="B19" s="43" t="s">
        <v>54</v>
      </c>
      <c r="C19" s="41" t="s">
        <v>9</v>
      </c>
      <c r="D19" s="43">
        <v>2003</v>
      </c>
      <c r="E19" s="43"/>
      <c r="F19" s="43"/>
      <c r="G19" s="44"/>
    </row>
    <row r="20" spans="1:7" x14ac:dyDescent="0.25">
      <c r="A20" s="42"/>
      <c r="B20" s="43" t="s">
        <v>55</v>
      </c>
      <c r="C20" s="41" t="s">
        <v>9</v>
      </c>
      <c r="D20" s="43">
        <v>4000</v>
      </c>
      <c r="E20" s="43"/>
      <c r="F20" s="43"/>
      <c r="G20" s="44"/>
    </row>
    <row r="21" spans="1:7" x14ac:dyDescent="0.25">
      <c r="A21" s="42"/>
      <c r="B21" s="46" t="s">
        <v>56</v>
      </c>
      <c r="C21" s="47" t="s">
        <v>7</v>
      </c>
      <c r="D21" s="46">
        <v>3750</v>
      </c>
      <c r="E21" s="46">
        <v>50</v>
      </c>
      <c r="F21" s="46"/>
      <c r="G21" s="48"/>
    </row>
    <row r="22" spans="1:7" x14ac:dyDescent="0.25">
      <c r="A22" s="45"/>
      <c r="B22" s="43" t="s">
        <v>57</v>
      </c>
      <c r="C22" s="41" t="s">
        <v>7</v>
      </c>
      <c r="D22" s="43">
        <v>4005</v>
      </c>
      <c r="E22" s="43">
        <v>2</v>
      </c>
      <c r="F22" s="43">
        <v>4005</v>
      </c>
      <c r="G22" s="44">
        <v>5</v>
      </c>
    </row>
    <row r="23" spans="1:7" x14ac:dyDescent="0.25">
      <c r="A23" s="42"/>
      <c r="B23" s="46"/>
      <c r="C23" s="47" t="s">
        <v>7</v>
      </c>
      <c r="D23" s="46">
        <v>3400</v>
      </c>
      <c r="E23" s="46">
        <v>50</v>
      </c>
      <c r="F23" s="46"/>
      <c r="G23" s="48"/>
    </row>
    <row r="24" spans="1:7" x14ac:dyDescent="0.25">
      <c r="A24" s="45"/>
      <c r="B24" s="43" t="s">
        <v>40</v>
      </c>
      <c r="C24" s="41" t="s">
        <v>9</v>
      </c>
      <c r="D24" s="43">
        <v>4285</v>
      </c>
      <c r="E24" s="43"/>
      <c r="F24" s="43"/>
      <c r="G24" s="43"/>
    </row>
    <row r="25" spans="1:7" x14ac:dyDescent="0.25">
      <c r="A25" s="42"/>
      <c r="B25" s="46"/>
      <c r="C25" s="47"/>
      <c r="D25" s="46"/>
      <c r="E25" s="46"/>
      <c r="F25" s="46"/>
      <c r="G25" s="48"/>
    </row>
    <row r="26" spans="1:7" x14ac:dyDescent="0.25">
      <c r="A26" s="45"/>
      <c r="B26" s="43"/>
      <c r="C26" s="41"/>
      <c r="D26" s="43"/>
      <c r="E26" s="43"/>
      <c r="F26" s="43"/>
      <c r="G26" s="44"/>
    </row>
    <row r="27" spans="1:7" x14ac:dyDescent="0.25">
      <c r="A27" s="42"/>
      <c r="B27" s="43"/>
      <c r="C27" s="41"/>
      <c r="D27" s="43"/>
      <c r="E27" s="43"/>
      <c r="F27" s="43"/>
      <c r="G27" s="44"/>
    </row>
    <row r="28" spans="1:7" x14ac:dyDescent="0.25">
      <c r="A28" s="45"/>
      <c r="B28" s="46"/>
      <c r="C28" s="47"/>
      <c r="D28" s="46"/>
      <c r="E28" s="46"/>
      <c r="F28" s="46"/>
      <c r="G28" s="48"/>
    </row>
    <row r="29" spans="1:7" x14ac:dyDescent="0.25">
      <c r="A29" s="42"/>
      <c r="B29" s="43"/>
      <c r="C29" s="41"/>
      <c r="D29" s="43"/>
      <c r="E29" s="43"/>
      <c r="F29" s="43"/>
      <c r="G29" s="44"/>
    </row>
    <row r="30" spans="1:7" x14ac:dyDescent="0.25">
      <c r="A30" s="45"/>
      <c r="B30" s="46"/>
      <c r="C30" s="47"/>
      <c r="D30" s="46"/>
      <c r="E30" s="46"/>
      <c r="F30" s="46"/>
      <c r="G30" s="48"/>
    </row>
    <row r="31" spans="1:7" x14ac:dyDescent="0.25">
      <c r="A31" s="42"/>
      <c r="B31" s="43"/>
      <c r="C31" s="41"/>
      <c r="D31" s="43"/>
      <c r="E31" s="43"/>
      <c r="F31" s="43"/>
      <c r="G31" s="44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5"/>
      <c r="B44" s="6"/>
      <c r="C44" s="7"/>
      <c r="D44" s="6"/>
      <c r="E44" s="6"/>
      <c r="F44" s="6"/>
      <c r="G44" s="8"/>
    </row>
    <row r="46" spans="1:7" x14ac:dyDescent="0.25">
      <c r="A46" s="42" t="s">
        <v>41</v>
      </c>
      <c r="B46" s="43"/>
      <c r="C46" s="41"/>
      <c r="D46" s="43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7" zoomScale="90" zoomScaleNormal="90" workbookViewId="0">
      <selection activeCell="B25" sqref="B25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58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43</v>
      </c>
      <c r="B5" s="27">
        <v>4005</v>
      </c>
      <c r="C5" s="27">
        <v>267</v>
      </c>
      <c r="D5" s="27">
        <v>15</v>
      </c>
      <c r="E5" s="28">
        <v>1</v>
      </c>
      <c r="G5" s="72" t="s">
        <v>123</v>
      </c>
    </row>
    <row r="6" spans="1:7" x14ac:dyDescent="0.25">
      <c r="A6" s="9" t="s">
        <v>53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26"/>
      <c r="B7" s="27"/>
      <c r="C7" s="27"/>
      <c r="D7" s="27"/>
      <c r="E7" s="28"/>
    </row>
    <row r="9" spans="1:7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7" x14ac:dyDescent="0.25">
      <c r="A10" s="42" t="s">
        <v>33</v>
      </c>
      <c r="B10" s="43" t="s">
        <v>43</v>
      </c>
      <c r="C10" s="41" t="s">
        <v>3</v>
      </c>
      <c r="D10" s="43">
        <v>3885</v>
      </c>
      <c r="E10" s="43">
        <v>95</v>
      </c>
      <c r="F10" s="43">
        <v>3805</v>
      </c>
      <c r="G10" s="44">
        <v>95</v>
      </c>
    </row>
    <row r="11" spans="1:7" x14ac:dyDescent="0.25">
      <c r="A11" s="45"/>
      <c r="B11" s="46"/>
      <c r="C11" s="47" t="s">
        <v>9</v>
      </c>
      <c r="D11" s="46">
        <v>4285</v>
      </c>
      <c r="E11" s="46"/>
      <c r="F11" s="46"/>
      <c r="G11" s="48"/>
    </row>
    <row r="12" spans="1:7" x14ac:dyDescent="0.25">
      <c r="A12" s="42"/>
      <c r="B12" s="43" t="s">
        <v>53</v>
      </c>
      <c r="C12" s="41" t="s">
        <v>3</v>
      </c>
      <c r="D12" s="43">
        <v>3885</v>
      </c>
      <c r="E12" s="43">
        <v>95</v>
      </c>
      <c r="F12" s="43">
        <v>3805</v>
      </c>
      <c r="G12" s="44"/>
    </row>
    <row r="13" spans="1:7" x14ac:dyDescent="0.25">
      <c r="A13" s="45"/>
      <c r="B13" s="46"/>
      <c r="C13" s="47" t="s">
        <v>9</v>
      </c>
      <c r="D13" s="46">
        <v>4285</v>
      </c>
      <c r="E13" s="46"/>
      <c r="F13" s="46"/>
      <c r="G13" s="48"/>
    </row>
    <row r="14" spans="1:7" x14ac:dyDescent="0.25">
      <c r="A14" s="42" t="s">
        <v>37</v>
      </c>
      <c r="B14" s="43" t="s">
        <v>51</v>
      </c>
      <c r="C14" s="41" t="s">
        <v>7</v>
      </c>
      <c r="D14" s="43">
        <v>300</v>
      </c>
      <c r="E14" s="43">
        <v>10</v>
      </c>
      <c r="F14" s="43">
        <v>500</v>
      </c>
      <c r="G14" s="44">
        <v>10</v>
      </c>
    </row>
    <row r="15" spans="1:7" x14ac:dyDescent="0.25">
      <c r="A15" s="45"/>
      <c r="B15" s="46" t="s">
        <v>49</v>
      </c>
      <c r="C15" s="47" t="s">
        <v>7</v>
      </c>
      <c r="D15" s="46">
        <v>1800</v>
      </c>
      <c r="E15" s="46">
        <v>35</v>
      </c>
      <c r="F15" s="46">
        <v>1800</v>
      </c>
      <c r="G15" s="48">
        <v>40</v>
      </c>
    </row>
    <row r="16" spans="1:7" x14ac:dyDescent="0.25">
      <c r="A16" s="42"/>
      <c r="B16" s="43" t="s">
        <v>48</v>
      </c>
      <c r="C16" s="47" t="s">
        <v>7</v>
      </c>
      <c r="D16" s="46">
        <v>480</v>
      </c>
      <c r="E16" s="46">
        <v>10</v>
      </c>
      <c r="F16" s="46">
        <v>480</v>
      </c>
      <c r="G16" s="48">
        <v>15</v>
      </c>
    </row>
    <row r="17" spans="1:7" x14ac:dyDescent="0.25">
      <c r="A17" s="42"/>
      <c r="B17" s="43" t="s">
        <v>39</v>
      </c>
      <c r="C17" s="41" t="s">
        <v>7</v>
      </c>
      <c r="D17" s="43">
        <v>2250</v>
      </c>
      <c r="E17" s="43">
        <v>2</v>
      </c>
      <c r="F17" s="43"/>
      <c r="G17" s="44"/>
    </row>
    <row r="18" spans="1:7" x14ac:dyDescent="0.25">
      <c r="A18" s="45"/>
      <c r="B18" s="46"/>
      <c r="C18" s="47" t="s">
        <v>8</v>
      </c>
      <c r="D18" s="46">
        <v>300</v>
      </c>
      <c r="E18" s="46"/>
      <c r="F18" s="46">
        <v>500</v>
      </c>
      <c r="G18" s="48"/>
    </row>
    <row r="19" spans="1:7" x14ac:dyDescent="0.25">
      <c r="A19" s="45"/>
      <c r="B19" s="43" t="s">
        <v>54</v>
      </c>
      <c r="C19" s="41" t="s">
        <v>9</v>
      </c>
      <c r="D19" s="43">
        <v>2003</v>
      </c>
      <c r="E19" s="43"/>
      <c r="F19" s="43"/>
      <c r="G19" s="44"/>
    </row>
    <row r="20" spans="1:7" x14ac:dyDescent="0.25">
      <c r="A20" s="42"/>
      <c r="B20" s="43" t="s">
        <v>59</v>
      </c>
      <c r="C20" s="41" t="s">
        <v>9</v>
      </c>
      <c r="D20" s="43">
        <v>4000</v>
      </c>
      <c r="E20" s="43"/>
      <c r="F20" s="43"/>
      <c r="G20" s="44"/>
    </row>
    <row r="21" spans="1:7" x14ac:dyDescent="0.25">
      <c r="A21" s="42"/>
      <c r="B21" s="46" t="s">
        <v>56</v>
      </c>
      <c r="C21" s="47" t="s">
        <v>7</v>
      </c>
      <c r="D21" s="46">
        <v>3750</v>
      </c>
      <c r="E21" s="46">
        <v>50</v>
      </c>
      <c r="F21" s="46"/>
      <c r="G21" s="48"/>
    </row>
    <row r="22" spans="1:7" x14ac:dyDescent="0.25">
      <c r="A22" s="45"/>
      <c r="B22" s="43" t="s">
        <v>57</v>
      </c>
      <c r="C22" s="41" t="s">
        <v>7</v>
      </c>
      <c r="D22" s="43">
        <v>4005</v>
      </c>
      <c r="E22" s="43">
        <v>2</v>
      </c>
      <c r="F22" s="43">
        <v>4005</v>
      </c>
      <c r="G22" s="44">
        <v>5</v>
      </c>
    </row>
    <row r="23" spans="1:7" x14ac:dyDescent="0.25">
      <c r="A23" s="42"/>
      <c r="B23" s="46"/>
      <c r="C23" s="47" t="s">
        <v>7</v>
      </c>
      <c r="D23" s="46">
        <v>3400</v>
      </c>
      <c r="E23" s="46">
        <v>50</v>
      </c>
      <c r="F23" s="46"/>
      <c r="G23" s="48"/>
    </row>
    <row r="24" spans="1:7" x14ac:dyDescent="0.25">
      <c r="A24" s="45"/>
      <c r="B24" s="43" t="s">
        <v>44</v>
      </c>
      <c r="C24" s="41" t="s">
        <v>7</v>
      </c>
      <c r="D24" s="43">
        <v>1500</v>
      </c>
      <c r="E24" s="43">
        <v>3</v>
      </c>
      <c r="F24" s="43"/>
      <c r="G24" s="43"/>
    </row>
    <row r="25" spans="1:7" x14ac:dyDescent="0.25">
      <c r="A25" s="42"/>
      <c r="B25" s="46"/>
      <c r="C25" s="47" t="s">
        <v>8</v>
      </c>
      <c r="D25" s="46">
        <v>500</v>
      </c>
      <c r="E25" s="46"/>
      <c r="F25" s="46"/>
      <c r="G25" s="48"/>
    </row>
    <row r="26" spans="1:7" x14ac:dyDescent="0.25">
      <c r="A26" s="45"/>
      <c r="B26" s="46" t="s">
        <v>40</v>
      </c>
      <c r="C26" s="47" t="s">
        <v>8</v>
      </c>
      <c r="D26" s="46">
        <v>4285</v>
      </c>
      <c r="E26" s="46"/>
      <c r="F26" s="46"/>
      <c r="G26" s="48"/>
    </row>
    <row r="27" spans="1:7" x14ac:dyDescent="0.25">
      <c r="A27" s="42"/>
      <c r="B27" s="43"/>
      <c r="C27" s="41"/>
      <c r="D27" s="43"/>
      <c r="E27" s="43"/>
      <c r="F27" s="43"/>
      <c r="G27" s="44"/>
    </row>
    <row r="28" spans="1:7" x14ac:dyDescent="0.25">
      <c r="A28" s="45"/>
      <c r="B28" s="43"/>
      <c r="C28" s="41"/>
      <c r="D28" s="43"/>
      <c r="E28" s="43"/>
      <c r="F28" s="43"/>
      <c r="G28" s="44"/>
    </row>
    <row r="29" spans="1:7" x14ac:dyDescent="0.25">
      <c r="A29" s="42"/>
      <c r="B29" s="43"/>
      <c r="C29" s="41"/>
      <c r="D29" s="43"/>
      <c r="E29" s="43"/>
      <c r="F29" s="43"/>
      <c r="G29" s="44"/>
    </row>
    <row r="30" spans="1:7" x14ac:dyDescent="0.25">
      <c r="A30" s="45"/>
      <c r="B30" s="46"/>
      <c r="C30" s="47"/>
      <c r="D30" s="46"/>
      <c r="E30" s="46"/>
      <c r="F30" s="46"/>
      <c r="G30" s="48"/>
    </row>
    <row r="31" spans="1:7" x14ac:dyDescent="0.25">
      <c r="A31" s="42"/>
      <c r="B31" s="43"/>
      <c r="C31" s="41"/>
      <c r="D31" s="43"/>
      <c r="E31" s="43"/>
      <c r="F31" s="43"/>
      <c r="G31" s="44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42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7" zoomScale="90" zoomScaleNormal="90" workbookViewId="0">
      <selection activeCell="E19" sqref="E19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60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26</v>
      </c>
      <c r="B5" s="27">
        <v>4005</v>
      </c>
      <c r="C5" s="27">
        <v>267</v>
      </c>
      <c r="D5" s="27">
        <v>15</v>
      </c>
      <c r="E5" s="28">
        <v>1</v>
      </c>
      <c r="G5" s="72" t="s">
        <v>123</v>
      </c>
    </row>
    <row r="6" spans="1:7" x14ac:dyDescent="0.25">
      <c r="A6" s="9" t="s">
        <v>53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59" t="s">
        <v>36</v>
      </c>
      <c r="B7" s="60">
        <v>4800</v>
      </c>
      <c r="C7" s="60">
        <v>320</v>
      </c>
      <c r="D7" s="60">
        <v>15</v>
      </c>
      <c r="E7" s="61">
        <v>1</v>
      </c>
    </row>
    <row r="8" spans="1:7" x14ac:dyDescent="0.25">
      <c r="A8" s="9"/>
      <c r="B8" s="10"/>
      <c r="C8" s="10"/>
      <c r="D8" s="10"/>
      <c r="E8" s="11"/>
    </row>
    <row r="10" spans="1:7" x14ac:dyDescent="0.25">
      <c r="A10" s="29" t="s">
        <v>27</v>
      </c>
      <c r="B10" s="30" t="s">
        <v>20</v>
      </c>
      <c r="C10" s="30" t="s">
        <v>28</v>
      </c>
      <c r="D10" s="30" t="s">
        <v>29</v>
      </c>
      <c r="E10" s="30" t="s">
        <v>30</v>
      </c>
      <c r="F10" s="30" t="s">
        <v>31</v>
      </c>
      <c r="G10" s="31" t="s">
        <v>32</v>
      </c>
    </row>
    <row r="11" spans="1:7" x14ac:dyDescent="0.25">
      <c r="A11" s="42" t="s">
        <v>33</v>
      </c>
      <c r="B11" s="43" t="s">
        <v>26</v>
      </c>
      <c r="C11" s="41" t="s">
        <v>3</v>
      </c>
      <c r="D11" s="43">
        <v>3885</v>
      </c>
      <c r="E11" s="43">
        <v>95</v>
      </c>
      <c r="F11" s="43">
        <v>3805</v>
      </c>
      <c r="G11" s="44">
        <v>95</v>
      </c>
    </row>
    <row r="12" spans="1:7" x14ac:dyDescent="0.25">
      <c r="A12" s="45"/>
      <c r="B12" s="46"/>
      <c r="C12" s="47" t="s">
        <v>7</v>
      </c>
      <c r="D12" s="46">
        <v>4320</v>
      </c>
      <c r="E12" s="46">
        <v>50</v>
      </c>
      <c r="F12" s="46"/>
      <c r="G12" s="48"/>
    </row>
    <row r="13" spans="1:7" x14ac:dyDescent="0.25">
      <c r="A13" s="42"/>
      <c r="B13" s="43"/>
      <c r="C13" s="47" t="s">
        <v>7</v>
      </c>
      <c r="D13" s="43">
        <v>4800</v>
      </c>
      <c r="E13" s="43">
        <v>35</v>
      </c>
      <c r="F13" s="43"/>
      <c r="G13" s="44"/>
    </row>
    <row r="14" spans="1:7" x14ac:dyDescent="0.25">
      <c r="A14" s="42"/>
      <c r="B14" s="43" t="s">
        <v>53</v>
      </c>
      <c r="C14" s="41" t="s">
        <v>3</v>
      </c>
      <c r="D14" s="43">
        <v>3885</v>
      </c>
      <c r="E14" s="43">
        <v>95</v>
      </c>
      <c r="F14" s="43">
        <v>3805</v>
      </c>
      <c r="G14" s="44">
        <v>95</v>
      </c>
    </row>
    <row r="15" spans="1:7" x14ac:dyDescent="0.25">
      <c r="A15" s="45"/>
      <c r="B15" s="46"/>
      <c r="C15" s="47" t="s">
        <v>9</v>
      </c>
      <c r="D15" s="46">
        <v>4285</v>
      </c>
      <c r="E15" s="46"/>
      <c r="F15" s="46"/>
      <c r="G15" s="48"/>
    </row>
    <row r="16" spans="1:7" x14ac:dyDescent="0.25">
      <c r="A16" s="42"/>
      <c r="B16" s="43" t="s">
        <v>36</v>
      </c>
      <c r="C16" s="41" t="s">
        <v>3</v>
      </c>
      <c r="D16" s="43">
        <v>4656</v>
      </c>
      <c r="E16" s="43">
        <v>95</v>
      </c>
      <c r="F16" s="43"/>
      <c r="G16" s="44"/>
    </row>
    <row r="17" spans="1:7" x14ac:dyDescent="0.25">
      <c r="A17" s="45"/>
      <c r="B17" s="46"/>
      <c r="C17" s="47" t="s">
        <v>7</v>
      </c>
      <c r="D17" s="46">
        <v>5280</v>
      </c>
      <c r="E17" s="46">
        <v>5</v>
      </c>
      <c r="F17" s="46"/>
      <c r="G17" s="48"/>
    </row>
    <row r="18" spans="1:7" x14ac:dyDescent="0.25">
      <c r="A18" s="42"/>
      <c r="B18" s="43"/>
      <c r="C18" s="41" t="s">
        <v>9</v>
      </c>
      <c r="D18" s="43">
        <v>5376</v>
      </c>
      <c r="E18" s="43"/>
      <c r="F18" s="43"/>
      <c r="G18" s="44"/>
    </row>
    <row r="19" spans="1:7" x14ac:dyDescent="0.25">
      <c r="A19" s="45" t="s">
        <v>37</v>
      </c>
      <c r="B19" s="46" t="s">
        <v>47</v>
      </c>
      <c r="C19" s="47" t="s">
        <v>7</v>
      </c>
      <c r="D19" s="46">
        <v>300</v>
      </c>
      <c r="E19" s="46">
        <v>10</v>
      </c>
      <c r="F19" s="46">
        <v>500</v>
      </c>
      <c r="G19" s="48">
        <v>10</v>
      </c>
    </row>
    <row r="20" spans="1:7" x14ac:dyDescent="0.25">
      <c r="A20" s="42"/>
      <c r="B20" s="43" t="s">
        <v>48</v>
      </c>
      <c r="C20" s="41" t="s">
        <v>7</v>
      </c>
      <c r="D20" s="43">
        <v>1800</v>
      </c>
      <c r="E20" s="43">
        <v>35</v>
      </c>
      <c r="F20" s="43">
        <v>1800</v>
      </c>
      <c r="G20" s="44">
        <v>40</v>
      </c>
    </row>
    <row r="21" spans="1:7" x14ac:dyDescent="0.25">
      <c r="A21" s="42"/>
      <c r="B21" s="43" t="s">
        <v>49</v>
      </c>
      <c r="C21" s="47" t="s">
        <v>7</v>
      </c>
      <c r="D21" s="46">
        <v>480</v>
      </c>
      <c r="E21" s="46">
        <v>10</v>
      </c>
      <c r="F21" s="46">
        <v>480</v>
      </c>
      <c r="G21" s="48">
        <v>15</v>
      </c>
    </row>
    <row r="22" spans="1:7" x14ac:dyDescent="0.25">
      <c r="A22" s="42"/>
      <c r="B22" s="43" t="s">
        <v>39</v>
      </c>
      <c r="C22" s="41" t="s">
        <v>7</v>
      </c>
      <c r="D22" s="43">
        <v>2250</v>
      </c>
      <c r="E22" s="43">
        <v>2</v>
      </c>
      <c r="F22" s="43"/>
      <c r="G22" s="44"/>
    </row>
    <row r="23" spans="1:7" x14ac:dyDescent="0.25">
      <c r="A23" s="45"/>
      <c r="B23" s="46"/>
      <c r="C23" s="47" t="s">
        <v>8</v>
      </c>
      <c r="D23" s="46">
        <v>300</v>
      </c>
      <c r="E23" s="46"/>
      <c r="F23" s="46">
        <v>500</v>
      </c>
      <c r="G23" s="48"/>
    </row>
    <row r="24" spans="1:7" x14ac:dyDescent="0.25">
      <c r="A24" s="45"/>
      <c r="B24" s="43" t="s">
        <v>54</v>
      </c>
      <c r="C24" s="41" t="s">
        <v>9</v>
      </c>
      <c r="D24" s="43">
        <v>2003</v>
      </c>
      <c r="E24" s="43"/>
      <c r="F24" s="43"/>
      <c r="G24" s="44"/>
    </row>
    <row r="25" spans="1:7" x14ac:dyDescent="0.25">
      <c r="A25" s="42"/>
      <c r="B25" s="43" t="s">
        <v>55</v>
      </c>
      <c r="C25" s="41" t="s">
        <v>9</v>
      </c>
      <c r="D25" s="43">
        <v>4000</v>
      </c>
      <c r="E25" s="43"/>
      <c r="F25" s="43"/>
      <c r="G25" s="44"/>
    </row>
    <row r="26" spans="1:7" x14ac:dyDescent="0.25">
      <c r="A26" s="42"/>
      <c r="B26" s="46" t="s">
        <v>56</v>
      </c>
      <c r="C26" s="47" t="s">
        <v>7</v>
      </c>
      <c r="D26" s="46">
        <v>3750</v>
      </c>
      <c r="E26" s="46">
        <v>50</v>
      </c>
      <c r="F26" s="46"/>
      <c r="G26" s="48"/>
    </row>
    <row r="27" spans="1:7" x14ac:dyDescent="0.25">
      <c r="A27" s="45"/>
      <c r="B27" s="43" t="s">
        <v>57</v>
      </c>
      <c r="C27" s="41" t="s">
        <v>7</v>
      </c>
      <c r="D27" s="43">
        <v>4005</v>
      </c>
      <c r="E27" s="43">
        <v>2</v>
      </c>
      <c r="F27" s="43">
        <v>4005</v>
      </c>
      <c r="G27" s="44">
        <v>5</v>
      </c>
    </row>
    <row r="28" spans="1:7" x14ac:dyDescent="0.25">
      <c r="A28" s="42"/>
      <c r="B28" s="46"/>
      <c r="C28" s="47" t="s">
        <v>7</v>
      </c>
      <c r="D28" s="46">
        <v>3400</v>
      </c>
      <c r="E28" s="46">
        <v>50</v>
      </c>
      <c r="F28" s="46"/>
      <c r="G28" s="48"/>
    </row>
    <row r="29" spans="1:7" x14ac:dyDescent="0.25">
      <c r="A29" s="45"/>
      <c r="B29" s="43" t="s">
        <v>40</v>
      </c>
      <c r="C29" s="41" t="s">
        <v>9</v>
      </c>
      <c r="D29" s="43">
        <v>5376</v>
      </c>
      <c r="E29" s="43"/>
      <c r="F29" s="43"/>
      <c r="G29" s="43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5"/>
      <c r="B31" s="46"/>
      <c r="C31" s="47"/>
      <c r="D31" s="46"/>
      <c r="E31" s="46"/>
      <c r="F31" s="46"/>
      <c r="G31" s="48"/>
    </row>
    <row r="32" spans="1:7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2"/>
      <c r="B37" s="43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5"/>
      <c r="B40" s="43"/>
      <c r="C40" s="41"/>
      <c r="D40" s="43"/>
      <c r="E40" s="43"/>
      <c r="F40" s="43"/>
      <c r="G40" s="44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2"/>
      <c r="B42" s="46"/>
      <c r="C42" s="47"/>
      <c r="D42" s="46"/>
      <c r="E42" s="46"/>
      <c r="F42" s="46"/>
      <c r="G42" s="48"/>
    </row>
    <row r="43" spans="1:7" x14ac:dyDescent="0.25">
      <c r="A43" s="45"/>
      <c r="B43" s="43"/>
      <c r="C43" s="41"/>
      <c r="D43" s="43"/>
      <c r="E43" s="43"/>
      <c r="F43" s="43"/>
      <c r="G43" s="44"/>
    </row>
    <row r="44" spans="1:7" x14ac:dyDescent="0.25">
      <c r="A44" s="42"/>
      <c r="B44" s="46"/>
      <c r="C44" s="47"/>
      <c r="D44" s="46"/>
      <c r="E44" s="46"/>
      <c r="F44" s="46"/>
      <c r="G44" s="48"/>
    </row>
    <row r="45" spans="1:7" x14ac:dyDescent="0.25">
      <c r="A45" s="45"/>
      <c r="B45" s="43"/>
      <c r="C45" s="41"/>
      <c r="D45" s="43"/>
      <c r="E45" s="43"/>
      <c r="F45" s="43"/>
      <c r="G45" s="43"/>
    </row>
    <row r="46" spans="1:7" x14ac:dyDescent="0.25">
      <c r="A46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4" zoomScale="85" zoomScaleNormal="85" workbookViewId="0">
      <selection activeCell="E22" sqref="E22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61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43</v>
      </c>
      <c r="B5" s="27">
        <v>4005</v>
      </c>
      <c r="C5" s="27">
        <v>267</v>
      </c>
      <c r="D5" s="27">
        <v>15</v>
      </c>
      <c r="E5" s="28">
        <v>1</v>
      </c>
      <c r="G5" s="72" t="s">
        <v>123</v>
      </c>
    </row>
    <row r="6" spans="1:7" x14ac:dyDescent="0.25">
      <c r="A6" s="9" t="s">
        <v>53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26" t="s">
        <v>36</v>
      </c>
      <c r="B7" s="27">
        <v>4800</v>
      </c>
      <c r="C7" s="27">
        <v>320</v>
      </c>
      <c r="D7" s="27">
        <v>15</v>
      </c>
      <c r="E7" s="28">
        <v>1</v>
      </c>
    </row>
    <row r="8" spans="1:7" x14ac:dyDescent="0.25">
      <c r="A8" s="9"/>
      <c r="B8" s="10"/>
      <c r="C8" s="10"/>
      <c r="D8" s="10"/>
      <c r="E8" s="11"/>
    </row>
    <row r="10" spans="1:7" x14ac:dyDescent="0.25">
      <c r="A10" s="29" t="s">
        <v>27</v>
      </c>
      <c r="B10" s="30" t="s">
        <v>20</v>
      </c>
      <c r="C10" s="30" t="s">
        <v>28</v>
      </c>
      <c r="D10" s="30" t="s">
        <v>29</v>
      </c>
      <c r="E10" s="30" t="s">
        <v>30</v>
      </c>
      <c r="F10" s="30" t="s">
        <v>31</v>
      </c>
      <c r="G10" s="31" t="s">
        <v>32</v>
      </c>
    </row>
    <row r="11" spans="1:7" x14ac:dyDescent="0.25">
      <c r="A11" s="42" t="s">
        <v>33</v>
      </c>
      <c r="B11" s="43" t="s">
        <v>43</v>
      </c>
      <c r="C11" s="41" t="s">
        <v>3</v>
      </c>
      <c r="D11" s="43">
        <v>3885</v>
      </c>
      <c r="E11" s="43">
        <v>95</v>
      </c>
      <c r="F11" s="43">
        <v>3805</v>
      </c>
      <c r="G11" s="44">
        <v>95</v>
      </c>
    </row>
    <row r="12" spans="1:7" x14ac:dyDescent="0.25">
      <c r="A12" s="45"/>
      <c r="B12" s="46"/>
      <c r="C12" s="47" t="s">
        <v>7</v>
      </c>
      <c r="D12" s="46">
        <v>4320</v>
      </c>
      <c r="E12" s="46">
        <v>50</v>
      </c>
      <c r="F12" s="46"/>
      <c r="G12" s="48"/>
    </row>
    <row r="13" spans="1:7" x14ac:dyDescent="0.25">
      <c r="A13" s="42"/>
      <c r="B13" s="43"/>
      <c r="C13" s="47" t="s">
        <v>7</v>
      </c>
      <c r="D13" s="43">
        <v>4800</v>
      </c>
      <c r="E13" s="43">
        <v>35</v>
      </c>
      <c r="F13" s="43"/>
      <c r="G13" s="44"/>
    </row>
    <row r="14" spans="1:7" x14ac:dyDescent="0.25">
      <c r="A14" s="45"/>
      <c r="B14" s="43" t="s">
        <v>53</v>
      </c>
      <c r="C14" s="41" t="s">
        <v>3</v>
      </c>
      <c r="D14" s="43">
        <v>3885</v>
      </c>
      <c r="E14" s="43">
        <v>95</v>
      </c>
      <c r="F14" s="46">
        <v>3805</v>
      </c>
      <c r="G14" s="48">
        <v>95</v>
      </c>
    </row>
    <row r="15" spans="1:7" x14ac:dyDescent="0.25">
      <c r="A15" s="42"/>
      <c r="B15" s="46"/>
      <c r="C15" s="47" t="s">
        <v>9</v>
      </c>
      <c r="D15" s="46">
        <v>4285</v>
      </c>
      <c r="E15" s="46"/>
      <c r="F15" s="43"/>
      <c r="G15" s="44"/>
    </row>
    <row r="16" spans="1:7" x14ac:dyDescent="0.25">
      <c r="A16" s="45"/>
      <c r="B16" s="43" t="s">
        <v>36</v>
      </c>
      <c r="C16" s="41" t="s">
        <v>3</v>
      </c>
      <c r="D16" s="43">
        <v>4656</v>
      </c>
      <c r="E16" s="43">
        <v>95</v>
      </c>
      <c r="F16" s="46"/>
      <c r="G16" s="48"/>
    </row>
    <row r="17" spans="1:7" x14ac:dyDescent="0.25">
      <c r="A17" s="42"/>
      <c r="B17" s="46"/>
      <c r="C17" s="47" t="s">
        <v>7</v>
      </c>
      <c r="D17" s="46">
        <v>5280</v>
      </c>
      <c r="E17" s="46">
        <v>5</v>
      </c>
      <c r="F17" s="43"/>
      <c r="G17" s="44"/>
    </row>
    <row r="18" spans="1:7" x14ac:dyDescent="0.25">
      <c r="A18" s="45"/>
      <c r="B18" s="43"/>
      <c r="C18" s="41" t="s">
        <v>9</v>
      </c>
      <c r="D18" s="43">
        <v>5376</v>
      </c>
      <c r="E18" s="43"/>
      <c r="F18" s="46"/>
      <c r="G18" s="48"/>
    </row>
    <row r="19" spans="1:7" x14ac:dyDescent="0.25">
      <c r="A19" s="45" t="s">
        <v>37</v>
      </c>
      <c r="B19" s="46" t="s">
        <v>51</v>
      </c>
      <c r="C19" s="47" t="s">
        <v>7</v>
      </c>
      <c r="D19" s="46">
        <v>300</v>
      </c>
      <c r="E19" s="46">
        <v>10</v>
      </c>
      <c r="F19" s="46">
        <v>500</v>
      </c>
      <c r="G19" s="48">
        <v>10</v>
      </c>
    </row>
    <row r="20" spans="1:7" x14ac:dyDescent="0.25">
      <c r="A20" s="42"/>
      <c r="B20" s="43" t="s">
        <v>49</v>
      </c>
      <c r="C20" s="41" t="s">
        <v>7</v>
      </c>
      <c r="D20" s="43">
        <v>1800</v>
      </c>
      <c r="E20" s="43">
        <v>35</v>
      </c>
      <c r="F20" s="43">
        <v>1800</v>
      </c>
      <c r="G20" s="44">
        <v>40</v>
      </c>
    </row>
    <row r="21" spans="1:7" x14ac:dyDescent="0.25">
      <c r="A21" s="42"/>
      <c r="B21" s="43" t="s">
        <v>48</v>
      </c>
      <c r="C21" s="47" t="s">
        <v>7</v>
      </c>
      <c r="D21" s="46">
        <v>480</v>
      </c>
      <c r="E21" s="46">
        <v>10</v>
      </c>
      <c r="F21" s="46">
        <v>480</v>
      </c>
      <c r="G21" s="48">
        <v>15</v>
      </c>
    </row>
    <row r="22" spans="1:7" x14ac:dyDescent="0.25">
      <c r="A22" s="42"/>
      <c r="B22" s="43" t="s">
        <v>39</v>
      </c>
      <c r="C22" s="41" t="s">
        <v>7</v>
      </c>
      <c r="D22" s="43">
        <v>2250</v>
      </c>
      <c r="E22" s="43">
        <v>2</v>
      </c>
      <c r="F22" s="43"/>
      <c r="G22" s="44"/>
    </row>
    <row r="23" spans="1:7" x14ac:dyDescent="0.25">
      <c r="A23" s="45"/>
      <c r="B23" s="46"/>
      <c r="C23" s="47" t="s">
        <v>8</v>
      </c>
      <c r="D23" s="46">
        <v>300</v>
      </c>
      <c r="E23" s="46"/>
      <c r="F23" s="46">
        <v>500</v>
      </c>
      <c r="G23" s="48"/>
    </row>
    <row r="24" spans="1:7" x14ac:dyDescent="0.25">
      <c r="A24" s="45"/>
      <c r="B24" s="43" t="s">
        <v>54</v>
      </c>
      <c r="C24" s="41" t="s">
        <v>9</v>
      </c>
      <c r="D24" s="43">
        <v>2003</v>
      </c>
      <c r="E24" s="43"/>
      <c r="F24" s="43"/>
      <c r="G24" s="44"/>
    </row>
    <row r="25" spans="1:7" x14ac:dyDescent="0.25">
      <c r="A25" s="42"/>
      <c r="B25" s="43" t="s">
        <v>59</v>
      </c>
      <c r="C25" s="41" t="s">
        <v>9</v>
      </c>
      <c r="D25" s="43">
        <v>4000</v>
      </c>
      <c r="E25" s="43"/>
      <c r="F25" s="43"/>
      <c r="G25" s="44"/>
    </row>
    <row r="26" spans="1:7" x14ac:dyDescent="0.25">
      <c r="A26" s="42"/>
      <c r="B26" s="46" t="s">
        <v>56</v>
      </c>
      <c r="C26" s="47" t="s">
        <v>7</v>
      </c>
      <c r="D26" s="46">
        <v>3750</v>
      </c>
      <c r="E26" s="46">
        <v>50</v>
      </c>
      <c r="F26" s="46"/>
      <c r="G26" s="48"/>
    </row>
    <row r="27" spans="1:7" x14ac:dyDescent="0.25">
      <c r="A27" s="45"/>
      <c r="B27" s="43" t="s">
        <v>57</v>
      </c>
      <c r="C27" s="41" t="s">
        <v>7</v>
      </c>
      <c r="D27" s="43">
        <v>4005</v>
      </c>
      <c r="E27" s="43">
        <v>2</v>
      </c>
      <c r="F27" s="43">
        <v>4005</v>
      </c>
      <c r="G27" s="44">
        <v>5</v>
      </c>
    </row>
    <row r="28" spans="1:7" x14ac:dyDescent="0.25">
      <c r="A28" s="42"/>
      <c r="B28" s="46"/>
      <c r="C28" s="47" t="s">
        <v>7</v>
      </c>
      <c r="D28" s="46">
        <v>3400</v>
      </c>
      <c r="E28" s="46">
        <v>50</v>
      </c>
      <c r="F28" s="46"/>
      <c r="G28" s="48"/>
    </row>
    <row r="29" spans="1:7" x14ac:dyDescent="0.25">
      <c r="A29" s="45"/>
      <c r="B29" s="43" t="s">
        <v>44</v>
      </c>
      <c r="C29" s="41" t="s">
        <v>7</v>
      </c>
      <c r="D29" s="43">
        <v>1500</v>
      </c>
      <c r="E29" s="43">
        <v>3</v>
      </c>
      <c r="F29" s="43"/>
      <c r="G29" s="43"/>
    </row>
    <row r="30" spans="1:7" x14ac:dyDescent="0.25">
      <c r="A30" s="42"/>
      <c r="B30" s="46"/>
      <c r="C30" s="47" t="s">
        <v>8</v>
      </c>
      <c r="D30" s="46">
        <v>500</v>
      </c>
      <c r="E30" s="46"/>
      <c r="F30" s="46"/>
      <c r="G30" s="48"/>
    </row>
    <row r="31" spans="1:7" x14ac:dyDescent="0.25">
      <c r="A31" s="45"/>
      <c r="B31" s="46" t="s">
        <v>40</v>
      </c>
      <c r="C31" s="47" t="s">
        <v>9</v>
      </c>
      <c r="D31" s="46">
        <v>5376</v>
      </c>
      <c r="E31" s="46"/>
      <c r="F31" s="46"/>
      <c r="G31" s="48"/>
    </row>
    <row r="32" spans="1:7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2"/>
      <c r="B33" s="43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5"/>
      <c r="B36" s="43"/>
      <c r="C36" s="41"/>
      <c r="D36" s="43"/>
      <c r="E36" s="43"/>
      <c r="F36" s="43"/>
      <c r="G36" s="44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2"/>
      <c r="B38" s="46"/>
      <c r="C38" s="47"/>
      <c r="D38" s="46"/>
      <c r="E38" s="46"/>
      <c r="F38" s="46"/>
      <c r="G38" s="48"/>
    </row>
    <row r="39" spans="1:7" x14ac:dyDescent="0.25">
      <c r="A39" s="45"/>
      <c r="B39" s="43"/>
      <c r="C39" s="41"/>
      <c r="D39" s="43"/>
      <c r="E39" s="43"/>
      <c r="F39" s="43"/>
      <c r="G39" s="44"/>
    </row>
    <row r="40" spans="1:7" x14ac:dyDescent="0.25">
      <c r="A40" s="42"/>
      <c r="B40" s="46"/>
      <c r="C40" s="47"/>
      <c r="D40" s="46"/>
      <c r="E40" s="46"/>
      <c r="F40" s="46"/>
      <c r="G40" s="48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5"/>
      <c r="B42" s="43"/>
      <c r="C42" s="41"/>
      <c r="D42" s="43"/>
      <c r="E42" s="43"/>
      <c r="F42" s="43"/>
      <c r="G42" s="44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2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10" zoomScale="90" zoomScaleNormal="90" workbookViewId="0">
      <selection activeCell="E21" sqref="E21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147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26</v>
      </c>
      <c r="B5" s="27">
        <v>4005</v>
      </c>
      <c r="C5" s="27">
        <v>267</v>
      </c>
      <c r="D5" s="27">
        <v>15</v>
      </c>
      <c r="E5" s="28">
        <v>1</v>
      </c>
      <c r="G5" s="14" t="s">
        <v>128</v>
      </c>
    </row>
    <row r="6" spans="1:7" x14ac:dyDescent="0.25">
      <c r="A6" s="9" t="s">
        <v>43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59" t="s">
        <v>143</v>
      </c>
      <c r="B7" s="60">
        <v>4800</v>
      </c>
      <c r="C7" s="60">
        <v>320</v>
      </c>
      <c r="D7" s="60">
        <v>15</v>
      </c>
      <c r="E7" s="61">
        <v>1</v>
      </c>
    </row>
    <row r="8" spans="1:7" x14ac:dyDescent="0.25">
      <c r="A8" s="93" t="s">
        <v>144</v>
      </c>
      <c r="B8" s="94">
        <v>4800</v>
      </c>
      <c r="C8" s="94">
        <v>320</v>
      </c>
      <c r="D8" s="94">
        <v>15</v>
      </c>
      <c r="E8" s="95">
        <v>1</v>
      </c>
    </row>
    <row r="10" spans="1:7" x14ac:dyDescent="0.25">
      <c r="A10" s="29" t="s">
        <v>27</v>
      </c>
      <c r="B10" s="30" t="s">
        <v>20</v>
      </c>
      <c r="C10" s="30" t="s">
        <v>28</v>
      </c>
      <c r="D10" s="30" t="s">
        <v>29</v>
      </c>
      <c r="E10" s="30" t="s">
        <v>30</v>
      </c>
      <c r="F10" s="30" t="s">
        <v>31</v>
      </c>
      <c r="G10" s="31" t="s">
        <v>32</v>
      </c>
    </row>
    <row r="11" spans="1:7" x14ac:dyDescent="0.25">
      <c r="A11" s="42" t="s">
        <v>33</v>
      </c>
      <c r="B11" s="43" t="s">
        <v>26</v>
      </c>
      <c r="C11" s="41" t="s">
        <v>3</v>
      </c>
      <c r="D11" s="43">
        <v>3885</v>
      </c>
      <c r="E11" s="43">
        <v>95</v>
      </c>
      <c r="F11" s="43">
        <v>3805</v>
      </c>
      <c r="G11" s="44">
        <v>95</v>
      </c>
    </row>
    <row r="12" spans="1:7" x14ac:dyDescent="0.25">
      <c r="A12" s="45"/>
      <c r="B12" s="46"/>
      <c r="C12" s="47" t="s">
        <v>7</v>
      </c>
      <c r="D12" s="46">
        <v>4320</v>
      </c>
      <c r="E12" s="46">
        <v>50</v>
      </c>
      <c r="F12" s="46"/>
      <c r="G12" s="48"/>
    </row>
    <row r="13" spans="1:7" x14ac:dyDescent="0.25">
      <c r="A13" s="42"/>
      <c r="B13" s="43"/>
      <c r="C13" s="47" t="s">
        <v>7</v>
      </c>
      <c r="D13" s="43">
        <v>4800</v>
      </c>
      <c r="E13" s="43">
        <v>35</v>
      </c>
      <c r="F13" s="43"/>
      <c r="G13" s="44"/>
    </row>
    <row r="14" spans="1:7" x14ac:dyDescent="0.25">
      <c r="A14" s="42"/>
      <c r="B14" s="43" t="s">
        <v>43</v>
      </c>
      <c r="C14" s="41" t="s">
        <v>3</v>
      </c>
      <c r="D14" s="43">
        <v>3885</v>
      </c>
      <c r="E14" s="43">
        <v>95</v>
      </c>
      <c r="F14" s="43">
        <v>3805</v>
      </c>
      <c r="G14" s="44">
        <v>95</v>
      </c>
    </row>
    <row r="15" spans="1:7" x14ac:dyDescent="0.25">
      <c r="A15" s="45"/>
      <c r="B15" s="46"/>
      <c r="C15" s="47" t="s">
        <v>7</v>
      </c>
      <c r="D15" s="46">
        <v>4320</v>
      </c>
      <c r="E15" s="46">
        <v>50</v>
      </c>
      <c r="F15" s="46"/>
      <c r="G15" s="48"/>
    </row>
    <row r="16" spans="1:7" x14ac:dyDescent="0.25">
      <c r="A16" s="42"/>
      <c r="B16" s="43"/>
      <c r="C16" s="47" t="s">
        <v>7</v>
      </c>
      <c r="D16" s="43">
        <v>4800</v>
      </c>
      <c r="E16" s="43">
        <v>35</v>
      </c>
      <c r="F16" s="43"/>
      <c r="G16" s="44"/>
    </row>
    <row r="17" spans="1:7" x14ac:dyDescent="0.25">
      <c r="A17" s="45"/>
      <c r="B17" s="43" t="s">
        <v>143</v>
      </c>
      <c r="C17" s="41" t="s">
        <v>3</v>
      </c>
      <c r="D17" s="43">
        <v>4656</v>
      </c>
      <c r="E17" s="43">
        <v>95</v>
      </c>
      <c r="F17" s="43"/>
      <c r="G17" s="44"/>
    </row>
    <row r="18" spans="1:7" x14ac:dyDescent="0.25">
      <c r="A18" s="42"/>
      <c r="B18" s="46"/>
      <c r="C18" s="47" t="s">
        <v>7</v>
      </c>
      <c r="D18" s="46">
        <v>5280</v>
      </c>
      <c r="E18" s="46">
        <v>5</v>
      </c>
      <c r="F18" s="46"/>
      <c r="G18" s="48"/>
    </row>
    <row r="19" spans="1:7" x14ac:dyDescent="0.25">
      <c r="A19" s="45"/>
      <c r="B19" s="43"/>
      <c r="C19" s="41" t="s">
        <v>9</v>
      </c>
      <c r="D19" s="43">
        <v>5376</v>
      </c>
      <c r="E19" s="43"/>
      <c r="F19" s="43"/>
      <c r="G19" s="44"/>
    </row>
    <row r="20" spans="1:7" x14ac:dyDescent="0.25">
      <c r="A20" s="42"/>
      <c r="B20" s="43" t="s">
        <v>144</v>
      </c>
      <c r="C20" s="41" t="s">
        <v>3</v>
      </c>
      <c r="D20" s="43">
        <v>4656</v>
      </c>
      <c r="E20" s="43">
        <v>95</v>
      </c>
      <c r="F20" s="43"/>
      <c r="G20" s="44"/>
    </row>
    <row r="21" spans="1:7" x14ac:dyDescent="0.25">
      <c r="A21" s="42"/>
      <c r="B21" s="46"/>
      <c r="C21" s="47" t="s">
        <v>7</v>
      </c>
      <c r="D21" s="46">
        <v>5280</v>
      </c>
      <c r="E21" s="46">
        <v>5</v>
      </c>
      <c r="F21" s="108"/>
      <c r="G21" s="48"/>
    </row>
    <row r="22" spans="1:7" x14ac:dyDescent="0.25">
      <c r="A22" s="42"/>
      <c r="B22" s="43"/>
      <c r="C22" s="41" t="s">
        <v>9</v>
      </c>
      <c r="D22" s="43">
        <v>5376</v>
      </c>
      <c r="E22" s="109"/>
      <c r="F22" s="109"/>
      <c r="G22" s="44"/>
    </row>
    <row r="23" spans="1:7" x14ac:dyDescent="0.25">
      <c r="A23" s="45" t="s">
        <v>37</v>
      </c>
      <c r="B23" s="50" t="s">
        <v>48</v>
      </c>
      <c r="C23" s="98" t="s">
        <v>7</v>
      </c>
      <c r="D23" s="104">
        <v>1200</v>
      </c>
      <c r="E23" s="104">
        <v>15</v>
      </c>
      <c r="F23" s="104">
        <v>1200</v>
      </c>
      <c r="G23" s="96">
        <v>20</v>
      </c>
    </row>
    <row r="24" spans="1:7" x14ac:dyDescent="0.25">
      <c r="A24" s="42"/>
      <c r="B24" s="43"/>
      <c r="C24" s="100" t="s">
        <v>7</v>
      </c>
      <c r="D24" s="105">
        <v>800</v>
      </c>
      <c r="E24" s="105">
        <v>30</v>
      </c>
      <c r="F24" s="105">
        <v>800</v>
      </c>
      <c r="G24" s="97">
        <v>35</v>
      </c>
    </row>
    <row r="25" spans="1:7" x14ac:dyDescent="0.25">
      <c r="A25" s="42"/>
      <c r="B25" s="43"/>
      <c r="C25" s="101" t="s">
        <v>7</v>
      </c>
      <c r="D25" s="106">
        <v>400</v>
      </c>
      <c r="E25" s="106">
        <v>40</v>
      </c>
      <c r="F25" s="106">
        <v>400</v>
      </c>
      <c r="G25" s="85">
        <v>55</v>
      </c>
    </row>
    <row r="26" spans="1:7" x14ac:dyDescent="0.25">
      <c r="A26" s="42"/>
      <c r="B26" s="50" t="s">
        <v>49</v>
      </c>
      <c r="C26" s="98" t="s">
        <v>7</v>
      </c>
      <c r="D26" s="104">
        <v>1200</v>
      </c>
      <c r="E26" s="104">
        <v>15</v>
      </c>
      <c r="F26" s="104">
        <v>1200</v>
      </c>
      <c r="G26" s="96">
        <v>20</v>
      </c>
    </row>
    <row r="27" spans="1:7" x14ac:dyDescent="0.25">
      <c r="A27" s="45"/>
      <c r="B27" s="43"/>
      <c r="C27" s="100" t="s">
        <v>7</v>
      </c>
      <c r="D27" s="105">
        <v>800</v>
      </c>
      <c r="E27" s="105">
        <v>30</v>
      </c>
      <c r="F27" s="105">
        <v>800</v>
      </c>
      <c r="G27" s="97">
        <v>35</v>
      </c>
    </row>
    <row r="28" spans="1:7" x14ac:dyDescent="0.25">
      <c r="A28" s="45"/>
      <c r="B28" s="46"/>
      <c r="C28" s="101" t="s">
        <v>7</v>
      </c>
      <c r="D28" s="106">
        <v>400</v>
      </c>
      <c r="E28" s="106">
        <v>40</v>
      </c>
      <c r="F28" s="106">
        <v>400</v>
      </c>
      <c r="G28" s="85">
        <v>55</v>
      </c>
    </row>
    <row r="29" spans="1:7" x14ac:dyDescent="0.25">
      <c r="A29" s="42"/>
      <c r="B29" s="43" t="s">
        <v>39</v>
      </c>
      <c r="C29" s="102" t="s">
        <v>7</v>
      </c>
      <c r="D29" s="107">
        <v>1600</v>
      </c>
      <c r="E29" s="107">
        <v>5</v>
      </c>
      <c r="F29" s="107"/>
      <c r="G29" s="92"/>
    </row>
    <row r="30" spans="1:7" x14ac:dyDescent="0.25">
      <c r="A30" s="42"/>
      <c r="B30" s="46"/>
      <c r="C30" s="102" t="s">
        <v>7</v>
      </c>
      <c r="D30" s="107">
        <v>800</v>
      </c>
      <c r="E30" s="107">
        <v>30</v>
      </c>
      <c r="F30" s="107"/>
      <c r="G30" s="92"/>
    </row>
    <row r="31" spans="1:7" x14ac:dyDescent="0.25">
      <c r="A31" s="45"/>
      <c r="B31" s="43"/>
      <c r="C31" s="102" t="s">
        <v>8</v>
      </c>
      <c r="D31" s="107">
        <v>320</v>
      </c>
      <c r="E31" s="107"/>
      <c r="F31" s="107">
        <v>400</v>
      </c>
      <c r="G31" s="92"/>
    </row>
    <row r="32" spans="1:7" x14ac:dyDescent="0.25">
      <c r="A32" s="42"/>
      <c r="B32" s="43" t="s">
        <v>44</v>
      </c>
      <c r="C32" s="102" t="s">
        <v>7</v>
      </c>
      <c r="D32" s="107">
        <v>1500</v>
      </c>
      <c r="E32" s="107">
        <v>3</v>
      </c>
      <c r="F32" s="107"/>
      <c r="G32" s="92"/>
    </row>
    <row r="33" spans="1:7" x14ac:dyDescent="0.25">
      <c r="A33" s="45"/>
      <c r="B33" s="43"/>
      <c r="C33" s="102" t="s">
        <v>8</v>
      </c>
      <c r="D33" s="107">
        <v>500</v>
      </c>
      <c r="E33" s="107"/>
      <c r="F33" s="107"/>
      <c r="G33" s="92"/>
    </row>
    <row r="34" spans="1:7" x14ac:dyDescent="0.25">
      <c r="A34" s="45"/>
      <c r="B34" s="46" t="s">
        <v>40</v>
      </c>
      <c r="C34" s="102" t="s">
        <v>9</v>
      </c>
      <c r="D34" s="107">
        <v>5136</v>
      </c>
      <c r="E34" s="107"/>
      <c r="F34" s="107"/>
      <c r="G34" s="92"/>
    </row>
    <row r="35" spans="1:7" x14ac:dyDescent="0.25">
      <c r="A35" s="42"/>
      <c r="B35" s="43"/>
      <c r="C35" s="102"/>
      <c r="D35" s="107"/>
      <c r="E35" s="107"/>
      <c r="F35" s="107"/>
      <c r="G35" s="92"/>
    </row>
    <row r="36" spans="1:7" x14ac:dyDescent="0.25">
      <c r="A36" s="45"/>
      <c r="B36" s="46"/>
      <c r="C36" s="102"/>
      <c r="D36" s="107"/>
      <c r="E36" s="107"/>
      <c r="F36" s="107"/>
      <c r="G36" s="92"/>
    </row>
    <row r="37" spans="1:7" x14ac:dyDescent="0.25">
      <c r="A37" s="42"/>
      <c r="B37" s="43"/>
      <c r="C37" s="102"/>
      <c r="D37" s="107"/>
      <c r="E37" s="107"/>
      <c r="F37" s="107"/>
      <c r="G37" s="90"/>
    </row>
    <row r="38" spans="1:7" x14ac:dyDescent="0.25">
      <c r="A38" s="42"/>
      <c r="B38" s="46"/>
      <c r="C38" s="102"/>
      <c r="D38" s="107"/>
      <c r="E38" s="107"/>
      <c r="F38" s="107"/>
      <c r="G38" s="92"/>
    </row>
    <row r="39" spans="1:7" x14ac:dyDescent="0.25">
      <c r="A39" s="45"/>
      <c r="B39" s="43"/>
      <c r="C39" s="98"/>
      <c r="D39" s="104"/>
      <c r="E39" s="104"/>
      <c r="F39" s="104"/>
      <c r="G39" s="96"/>
    </row>
    <row r="40" spans="1:7" x14ac:dyDescent="0.25">
      <c r="A40" s="42"/>
      <c r="B40" s="46"/>
      <c r="C40" s="100"/>
      <c r="D40" s="105"/>
      <c r="E40" s="105"/>
      <c r="F40" s="105"/>
      <c r="G40" s="97"/>
    </row>
    <row r="41" spans="1:7" x14ac:dyDescent="0.25">
      <c r="A41" s="45"/>
      <c r="B41" s="43"/>
      <c r="C41" s="100"/>
      <c r="D41" s="105"/>
      <c r="E41" s="105"/>
      <c r="F41" s="105"/>
      <c r="G41" s="97"/>
    </row>
    <row r="42" spans="1:7" x14ac:dyDescent="0.25">
      <c r="A42" s="42"/>
      <c r="B42" s="46"/>
      <c r="C42" s="101"/>
      <c r="D42" s="106"/>
      <c r="E42" s="106"/>
      <c r="F42" s="106"/>
      <c r="G42" s="85"/>
    </row>
    <row r="43" spans="1:7" x14ac:dyDescent="0.25">
      <c r="A43" s="45"/>
      <c r="B43" s="43"/>
      <c r="C43" s="98"/>
      <c r="D43" s="104"/>
      <c r="E43" s="104"/>
      <c r="F43" s="104"/>
      <c r="G43" s="96"/>
    </row>
    <row r="44" spans="1:7" x14ac:dyDescent="0.25">
      <c r="A44" s="42"/>
      <c r="B44" s="46"/>
      <c r="C44" s="103"/>
      <c r="D44" s="108"/>
      <c r="E44" s="46"/>
      <c r="F44" s="110"/>
      <c r="G44" s="48"/>
    </row>
    <row r="45" spans="1:7" x14ac:dyDescent="0.25">
      <c r="A45" s="45"/>
      <c r="B45" s="43"/>
      <c r="C45" s="41"/>
      <c r="D45" s="109"/>
      <c r="E45" s="43"/>
      <c r="F45" s="43"/>
      <c r="G45" s="43"/>
    </row>
    <row r="46" spans="1:7" x14ac:dyDescent="0.25">
      <c r="A46" s="72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7" zoomScale="90" zoomScaleNormal="90" workbookViewId="0">
      <selection activeCell="E20" sqref="E2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141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26</v>
      </c>
      <c r="B5" s="27">
        <v>4005</v>
      </c>
      <c r="C5" s="27">
        <v>267</v>
      </c>
      <c r="D5" s="27">
        <v>15</v>
      </c>
      <c r="E5" s="28">
        <v>1</v>
      </c>
      <c r="G5" s="14" t="s">
        <v>128</v>
      </c>
    </row>
    <row r="6" spans="1:7" x14ac:dyDescent="0.25">
      <c r="A6" s="9" t="s">
        <v>43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59" t="s">
        <v>145</v>
      </c>
      <c r="B7" s="60">
        <v>4005</v>
      </c>
      <c r="C7" s="60">
        <v>267</v>
      </c>
      <c r="D7" s="60">
        <v>15</v>
      </c>
      <c r="E7" s="61">
        <v>1</v>
      </c>
    </row>
    <row r="8" spans="1:7" x14ac:dyDescent="0.25">
      <c r="A8" s="93" t="s">
        <v>143</v>
      </c>
      <c r="B8" s="94">
        <v>4800</v>
      </c>
      <c r="C8" s="94">
        <v>320</v>
      </c>
      <c r="D8" s="94">
        <v>15</v>
      </c>
      <c r="E8" s="95">
        <v>1</v>
      </c>
    </row>
    <row r="9" spans="1:7" x14ac:dyDescent="0.25">
      <c r="A9" s="59" t="s">
        <v>144</v>
      </c>
      <c r="B9" s="60">
        <v>4800</v>
      </c>
      <c r="C9" s="60">
        <v>320</v>
      </c>
      <c r="D9" s="60">
        <v>15</v>
      </c>
      <c r="E9" s="61">
        <v>1</v>
      </c>
    </row>
    <row r="11" spans="1:7" x14ac:dyDescent="0.25">
      <c r="A11" s="29" t="s">
        <v>27</v>
      </c>
      <c r="B11" s="30" t="s">
        <v>20</v>
      </c>
      <c r="C11" s="30" t="s">
        <v>28</v>
      </c>
      <c r="D11" s="30" t="s">
        <v>29</v>
      </c>
      <c r="E11" s="30" t="s">
        <v>30</v>
      </c>
      <c r="F11" s="30" t="s">
        <v>31</v>
      </c>
      <c r="G11" s="31" t="s">
        <v>32</v>
      </c>
    </row>
    <row r="12" spans="1:7" x14ac:dyDescent="0.25">
      <c r="A12" s="42" t="s">
        <v>33</v>
      </c>
      <c r="B12" s="43" t="s">
        <v>26</v>
      </c>
      <c r="C12" s="41" t="s">
        <v>3</v>
      </c>
      <c r="D12" s="43">
        <v>3885</v>
      </c>
      <c r="E12" s="43">
        <v>95</v>
      </c>
      <c r="F12" s="43">
        <v>3805</v>
      </c>
      <c r="G12" s="44">
        <v>95</v>
      </c>
    </row>
    <row r="13" spans="1:7" x14ac:dyDescent="0.25">
      <c r="A13" s="45"/>
      <c r="B13" s="46"/>
      <c r="C13" s="47" t="s">
        <v>7</v>
      </c>
      <c r="D13" s="46">
        <v>4320</v>
      </c>
      <c r="E13" s="46">
        <v>50</v>
      </c>
      <c r="F13" s="46"/>
      <c r="G13" s="48"/>
    </row>
    <row r="14" spans="1:7" x14ac:dyDescent="0.25">
      <c r="A14" s="42"/>
      <c r="B14" s="43"/>
      <c r="C14" s="47" t="s">
        <v>7</v>
      </c>
      <c r="D14" s="43">
        <v>4800</v>
      </c>
      <c r="E14" s="43">
        <v>35</v>
      </c>
      <c r="F14" s="43"/>
      <c r="G14" s="44"/>
    </row>
    <row r="15" spans="1:7" x14ac:dyDescent="0.25">
      <c r="A15" s="42"/>
      <c r="B15" s="43" t="s">
        <v>43</v>
      </c>
      <c r="C15" s="41" t="s">
        <v>3</v>
      </c>
      <c r="D15" s="43">
        <v>3885</v>
      </c>
      <c r="E15" s="43">
        <v>95</v>
      </c>
      <c r="F15" s="43">
        <v>3805</v>
      </c>
      <c r="G15" s="44">
        <v>95</v>
      </c>
    </row>
    <row r="16" spans="1:7" x14ac:dyDescent="0.25">
      <c r="A16" s="45"/>
      <c r="B16" s="46"/>
      <c r="C16" s="47" t="s">
        <v>7</v>
      </c>
      <c r="D16" s="46">
        <v>4320</v>
      </c>
      <c r="E16" s="46">
        <v>50</v>
      </c>
      <c r="F16" s="46"/>
      <c r="G16" s="48"/>
    </row>
    <row r="17" spans="1:7" x14ac:dyDescent="0.25">
      <c r="A17" s="42"/>
      <c r="B17" s="43"/>
      <c r="C17" s="47" t="s">
        <v>7</v>
      </c>
      <c r="D17" s="43">
        <v>4800</v>
      </c>
      <c r="E17" s="43">
        <v>35</v>
      </c>
      <c r="F17" s="43"/>
      <c r="G17" s="44"/>
    </row>
    <row r="18" spans="1:7" x14ac:dyDescent="0.25">
      <c r="A18" s="45"/>
      <c r="B18" s="43" t="s">
        <v>145</v>
      </c>
      <c r="C18" s="41" t="s">
        <v>3</v>
      </c>
      <c r="D18" s="43">
        <v>3885</v>
      </c>
      <c r="E18" s="43">
        <v>95</v>
      </c>
      <c r="F18" s="43">
        <v>3805</v>
      </c>
      <c r="G18" s="44">
        <v>95</v>
      </c>
    </row>
    <row r="19" spans="1:7" x14ac:dyDescent="0.25">
      <c r="A19" s="42"/>
      <c r="B19" s="46"/>
      <c r="C19" s="47" t="s">
        <v>9</v>
      </c>
      <c r="D19" s="46">
        <v>4285</v>
      </c>
      <c r="E19" s="46"/>
      <c r="F19" s="46"/>
      <c r="G19" s="48"/>
    </row>
    <row r="20" spans="1:7" x14ac:dyDescent="0.25">
      <c r="A20" s="45"/>
      <c r="B20" s="43" t="s">
        <v>143</v>
      </c>
      <c r="C20" s="41" t="s">
        <v>3</v>
      </c>
      <c r="D20" s="43">
        <v>4656</v>
      </c>
      <c r="E20" s="43">
        <v>95</v>
      </c>
      <c r="F20" s="43"/>
      <c r="G20" s="44"/>
    </row>
    <row r="21" spans="1:7" x14ac:dyDescent="0.25">
      <c r="A21" s="42"/>
      <c r="B21" s="46"/>
      <c r="C21" s="47" t="s">
        <v>7</v>
      </c>
      <c r="D21" s="46">
        <v>5280</v>
      </c>
      <c r="E21" s="46">
        <v>5</v>
      </c>
      <c r="F21" s="46"/>
      <c r="G21" s="48"/>
    </row>
    <row r="22" spans="1:7" x14ac:dyDescent="0.25">
      <c r="A22" s="42"/>
      <c r="B22" s="43"/>
      <c r="C22" s="41" t="s">
        <v>9</v>
      </c>
      <c r="D22" s="43">
        <v>5376</v>
      </c>
      <c r="E22" s="43"/>
      <c r="F22" s="43"/>
      <c r="G22" s="44"/>
    </row>
    <row r="23" spans="1:7" x14ac:dyDescent="0.25">
      <c r="A23" s="42"/>
      <c r="B23" s="43" t="s">
        <v>144</v>
      </c>
      <c r="C23" s="41" t="s">
        <v>3</v>
      </c>
      <c r="D23" s="43">
        <v>4656</v>
      </c>
      <c r="E23" s="43">
        <v>95</v>
      </c>
      <c r="F23" s="43"/>
      <c r="G23" s="44"/>
    </row>
    <row r="24" spans="1:7" x14ac:dyDescent="0.25">
      <c r="A24" s="45"/>
      <c r="B24" s="46"/>
      <c r="C24" s="47" t="s">
        <v>7</v>
      </c>
      <c r="D24" s="46">
        <v>5280</v>
      </c>
      <c r="E24" s="46">
        <v>5</v>
      </c>
      <c r="F24" s="108"/>
      <c r="G24" s="48"/>
    </row>
    <row r="25" spans="1:7" x14ac:dyDescent="0.25">
      <c r="A25" s="45"/>
      <c r="B25" s="43"/>
      <c r="C25" s="41" t="s">
        <v>9</v>
      </c>
      <c r="D25" s="43">
        <v>5376</v>
      </c>
      <c r="E25" s="109"/>
      <c r="F25" s="109"/>
      <c r="G25" s="44"/>
    </row>
    <row r="26" spans="1:7" x14ac:dyDescent="0.25">
      <c r="A26" s="45" t="s">
        <v>37</v>
      </c>
      <c r="B26" s="43" t="s">
        <v>48</v>
      </c>
      <c r="C26" s="98" t="s">
        <v>7</v>
      </c>
      <c r="D26" s="104">
        <v>1800</v>
      </c>
      <c r="E26" s="104">
        <v>35</v>
      </c>
      <c r="F26" s="104">
        <v>1800</v>
      </c>
      <c r="G26" s="96">
        <v>40</v>
      </c>
    </row>
    <row r="27" spans="1:7" x14ac:dyDescent="0.25">
      <c r="A27" s="42"/>
      <c r="B27" s="43" t="s">
        <v>49</v>
      </c>
      <c r="C27" s="99" t="s">
        <v>7</v>
      </c>
      <c r="D27" s="104">
        <v>1200</v>
      </c>
      <c r="E27" s="104">
        <v>15</v>
      </c>
      <c r="F27" s="104">
        <v>1200</v>
      </c>
      <c r="G27" s="96">
        <v>20</v>
      </c>
    </row>
    <row r="28" spans="1:7" x14ac:dyDescent="0.25">
      <c r="A28" s="42"/>
      <c r="B28" s="43"/>
      <c r="C28" s="100" t="s">
        <v>7</v>
      </c>
      <c r="D28" s="105">
        <v>800</v>
      </c>
      <c r="E28" s="105">
        <v>30</v>
      </c>
      <c r="F28" s="105">
        <v>800</v>
      </c>
      <c r="G28" s="97">
        <v>35</v>
      </c>
    </row>
    <row r="29" spans="1:7" x14ac:dyDescent="0.25">
      <c r="A29" s="42"/>
      <c r="B29" s="46"/>
      <c r="C29" s="101" t="s">
        <v>7</v>
      </c>
      <c r="D29" s="106">
        <v>400</v>
      </c>
      <c r="E29" s="106">
        <v>40</v>
      </c>
      <c r="F29" s="106">
        <v>400</v>
      </c>
      <c r="G29" s="85">
        <v>55</v>
      </c>
    </row>
    <row r="30" spans="1:7" x14ac:dyDescent="0.25">
      <c r="A30" s="45"/>
      <c r="B30" s="43" t="s">
        <v>39</v>
      </c>
      <c r="C30" s="102" t="s">
        <v>7</v>
      </c>
      <c r="D30" s="107">
        <v>2250</v>
      </c>
      <c r="E30" s="107">
        <v>2</v>
      </c>
      <c r="F30" s="107"/>
      <c r="G30" s="92"/>
    </row>
    <row r="31" spans="1:7" x14ac:dyDescent="0.25">
      <c r="A31" s="45"/>
      <c r="B31" s="46"/>
      <c r="C31" s="102" t="s">
        <v>8</v>
      </c>
      <c r="D31" s="107">
        <v>300</v>
      </c>
      <c r="E31" s="107"/>
      <c r="F31" s="107">
        <v>500</v>
      </c>
      <c r="G31" s="92"/>
    </row>
    <row r="32" spans="1:7" x14ac:dyDescent="0.25">
      <c r="A32" s="42"/>
      <c r="B32" s="43" t="s">
        <v>54</v>
      </c>
      <c r="C32" s="102" t="s">
        <v>9</v>
      </c>
      <c r="D32" s="107">
        <v>2003</v>
      </c>
      <c r="E32" s="107"/>
      <c r="F32" s="107"/>
      <c r="G32" s="92"/>
    </row>
    <row r="33" spans="1:7" x14ac:dyDescent="0.25">
      <c r="A33" s="42"/>
      <c r="B33" s="43" t="s">
        <v>55</v>
      </c>
      <c r="C33" s="102" t="s">
        <v>9</v>
      </c>
      <c r="D33" s="107">
        <v>4000</v>
      </c>
      <c r="E33" s="107"/>
      <c r="F33" s="107"/>
      <c r="G33" s="92"/>
    </row>
    <row r="34" spans="1:7" x14ac:dyDescent="0.25">
      <c r="A34" s="45"/>
      <c r="B34" s="43" t="s">
        <v>59</v>
      </c>
      <c r="C34" s="102" t="s">
        <v>9</v>
      </c>
      <c r="D34" s="107">
        <v>4000</v>
      </c>
      <c r="E34" s="107"/>
      <c r="F34" s="107"/>
      <c r="G34" s="92"/>
    </row>
    <row r="35" spans="1:7" x14ac:dyDescent="0.25">
      <c r="A35" s="42"/>
      <c r="B35" s="46" t="s">
        <v>56</v>
      </c>
      <c r="C35" s="102" t="s">
        <v>7</v>
      </c>
      <c r="D35" s="107">
        <v>3750</v>
      </c>
      <c r="E35" s="107">
        <v>50</v>
      </c>
      <c r="F35" s="107"/>
      <c r="G35" s="92"/>
    </row>
    <row r="36" spans="1:7" x14ac:dyDescent="0.25">
      <c r="A36" s="45"/>
      <c r="B36" s="43" t="s">
        <v>57</v>
      </c>
      <c r="C36" s="102" t="s">
        <v>7</v>
      </c>
      <c r="D36" s="107">
        <v>4005</v>
      </c>
      <c r="E36" s="107">
        <v>2</v>
      </c>
      <c r="F36" s="107">
        <v>4005</v>
      </c>
      <c r="G36" s="92">
        <v>5</v>
      </c>
    </row>
    <row r="37" spans="1:7" x14ac:dyDescent="0.25">
      <c r="A37" s="45"/>
      <c r="B37" s="46"/>
      <c r="C37" s="102" t="s">
        <v>7</v>
      </c>
      <c r="D37" s="107">
        <v>3400</v>
      </c>
      <c r="E37" s="107">
        <v>50</v>
      </c>
      <c r="F37" s="107"/>
      <c r="G37" s="92"/>
    </row>
    <row r="38" spans="1:7" x14ac:dyDescent="0.25">
      <c r="A38" s="42"/>
      <c r="B38" s="43" t="s">
        <v>40</v>
      </c>
      <c r="C38" s="102" t="s">
        <v>9</v>
      </c>
      <c r="D38" s="107">
        <v>5376</v>
      </c>
      <c r="E38" s="107"/>
      <c r="F38" s="107"/>
      <c r="G38" s="90"/>
    </row>
    <row r="39" spans="1:7" x14ac:dyDescent="0.25">
      <c r="A39" s="42"/>
      <c r="B39" s="46"/>
      <c r="C39" s="102"/>
      <c r="D39" s="107"/>
      <c r="E39" s="107"/>
      <c r="F39" s="107"/>
      <c r="G39" s="92"/>
    </row>
    <row r="40" spans="1:7" x14ac:dyDescent="0.25">
      <c r="A40" s="45"/>
      <c r="B40" s="43"/>
      <c r="C40" s="98"/>
      <c r="D40" s="104"/>
      <c r="E40" s="104"/>
      <c r="F40" s="104"/>
      <c r="G40" s="96"/>
    </row>
    <row r="41" spans="1:7" x14ac:dyDescent="0.25">
      <c r="A41" s="42"/>
      <c r="B41" s="46"/>
      <c r="C41" s="100"/>
      <c r="D41" s="105"/>
      <c r="E41" s="105"/>
      <c r="F41" s="105"/>
      <c r="G41" s="97"/>
    </row>
    <row r="42" spans="1:7" x14ac:dyDescent="0.25">
      <c r="A42" s="45"/>
      <c r="B42" s="43"/>
      <c r="C42" s="100"/>
      <c r="D42" s="105"/>
      <c r="E42" s="105"/>
      <c r="F42" s="105"/>
      <c r="G42" s="97"/>
    </row>
    <row r="43" spans="1:7" x14ac:dyDescent="0.25">
      <c r="A43" s="42"/>
      <c r="B43" s="46"/>
      <c r="C43" s="101"/>
      <c r="D43" s="106"/>
      <c r="E43" s="106"/>
      <c r="F43" s="106"/>
      <c r="G43" s="85"/>
    </row>
    <row r="44" spans="1:7" x14ac:dyDescent="0.25">
      <c r="A44" s="45"/>
      <c r="B44" s="43"/>
      <c r="C44" s="98"/>
      <c r="D44" s="104"/>
      <c r="E44" s="104"/>
      <c r="F44" s="104"/>
      <c r="G44" s="96"/>
    </row>
    <row r="45" spans="1:7" x14ac:dyDescent="0.25">
      <c r="A45" s="42"/>
      <c r="B45" s="46"/>
      <c r="C45" s="103"/>
      <c r="D45" s="108"/>
      <c r="E45" s="46"/>
      <c r="F45" s="110"/>
      <c r="G45" s="48"/>
    </row>
    <row r="46" spans="1:7" x14ac:dyDescent="0.25">
      <c r="A46" s="45"/>
      <c r="B46" s="43"/>
      <c r="C46" s="41"/>
      <c r="D46" s="109"/>
      <c r="E46" s="43"/>
      <c r="F46" s="43"/>
      <c r="G46" s="43"/>
    </row>
    <row r="47" spans="1:7" x14ac:dyDescent="0.25">
      <c r="A47" s="72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4" zoomScale="85" zoomScaleNormal="85" workbookViewId="0">
      <selection activeCell="E22" sqref="E22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142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26</v>
      </c>
      <c r="B5" s="27">
        <v>4005</v>
      </c>
      <c r="C5" s="27">
        <v>267</v>
      </c>
      <c r="D5" s="27">
        <v>15</v>
      </c>
      <c r="E5" s="28">
        <v>1</v>
      </c>
      <c r="G5" s="14" t="s">
        <v>128</v>
      </c>
    </row>
    <row r="6" spans="1:7" x14ac:dyDescent="0.25">
      <c r="A6" s="9" t="s">
        <v>43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59" t="s">
        <v>146</v>
      </c>
      <c r="B7" s="60">
        <v>4005</v>
      </c>
      <c r="C7" s="60">
        <v>267</v>
      </c>
      <c r="D7" s="60">
        <v>15</v>
      </c>
      <c r="E7" s="61">
        <v>1</v>
      </c>
    </row>
    <row r="8" spans="1:7" x14ac:dyDescent="0.25">
      <c r="A8" s="93" t="s">
        <v>143</v>
      </c>
      <c r="B8" s="94">
        <v>4800</v>
      </c>
      <c r="C8" s="94">
        <v>320</v>
      </c>
      <c r="D8" s="94">
        <v>15</v>
      </c>
      <c r="E8" s="95">
        <v>1</v>
      </c>
    </row>
    <row r="9" spans="1:7" x14ac:dyDescent="0.25">
      <c r="A9" s="59" t="s">
        <v>144</v>
      </c>
      <c r="B9" s="60">
        <v>4800</v>
      </c>
      <c r="C9" s="60">
        <v>320</v>
      </c>
      <c r="D9" s="60">
        <v>15</v>
      </c>
      <c r="E9" s="61">
        <v>1</v>
      </c>
    </row>
    <row r="11" spans="1:7" x14ac:dyDescent="0.25">
      <c r="A11" s="29" t="s">
        <v>27</v>
      </c>
      <c r="B11" s="30" t="s">
        <v>20</v>
      </c>
      <c r="C11" s="30" t="s">
        <v>28</v>
      </c>
      <c r="D11" s="30" t="s">
        <v>29</v>
      </c>
      <c r="E11" s="30" t="s">
        <v>30</v>
      </c>
      <c r="F11" s="30" t="s">
        <v>31</v>
      </c>
      <c r="G11" s="31" t="s">
        <v>32</v>
      </c>
    </row>
    <row r="12" spans="1:7" x14ac:dyDescent="0.25">
      <c r="A12" s="42" t="s">
        <v>33</v>
      </c>
      <c r="B12" s="43" t="s">
        <v>26</v>
      </c>
      <c r="C12" s="41" t="s">
        <v>3</v>
      </c>
      <c r="D12" s="43">
        <v>3885</v>
      </c>
      <c r="E12" s="43">
        <v>95</v>
      </c>
      <c r="F12" s="43">
        <v>3805</v>
      </c>
      <c r="G12" s="44">
        <v>95</v>
      </c>
    </row>
    <row r="13" spans="1:7" x14ac:dyDescent="0.25">
      <c r="A13" s="45"/>
      <c r="B13" s="46"/>
      <c r="C13" s="47" t="s">
        <v>7</v>
      </c>
      <c r="D13" s="46">
        <v>4320</v>
      </c>
      <c r="E13" s="46">
        <v>50</v>
      </c>
      <c r="F13" s="46"/>
      <c r="G13" s="48"/>
    </row>
    <row r="14" spans="1:7" x14ac:dyDescent="0.25">
      <c r="A14" s="42"/>
      <c r="B14" s="43"/>
      <c r="C14" s="47" t="s">
        <v>7</v>
      </c>
      <c r="D14" s="43">
        <v>4800</v>
      </c>
      <c r="E14" s="43">
        <v>35</v>
      </c>
      <c r="F14" s="43"/>
      <c r="G14" s="44"/>
    </row>
    <row r="15" spans="1:7" x14ac:dyDescent="0.25">
      <c r="A15" s="42"/>
      <c r="B15" s="43" t="s">
        <v>43</v>
      </c>
      <c r="C15" s="41" t="s">
        <v>3</v>
      </c>
      <c r="D15" s="43">
        <v>3885</v>
      </c>
      <c r="E15" s="43">
        <v>95</v>
      </c>
      <c r="F15" s="43">
        <v>3805</v>
      </c>
      <c r="G15" s="44">
        <v>95</v>
      </c>
    </row>
    <row r="16" spans="1:7" x14ac:dyDescent="0.25">
      <c r="A16" s="45"/>
      <c r="B16" s="46"/>
      <c r="C16" s="47" t="s">
        <v>7</v>
      </c>
      <c r="D16" s="46">
        <v>4320</v>
      </c>
      <c r="E16" s="46">
        <v>50</v>
      </c>
      <c r="F16" s="46"/>
      <c r="G16" s="48"/>
    </row>
    <row r="17" spans="1:7" x14ac:dyDescent="0.25">
      <c r="A17" s="42"/>
      <c r="B17" s="43"/>
      <c r="C17" s="47" t="s">
        <v>7</v>
      </c>
      <c r="D17" s="43">
        <v>4800</v>
      </c>
      <c r="E17" s="43">
        <v>35</v>
      </c>
      <c r="F17" s="43"/>
      <c r="G17" s="44"/>
    </row>
    <row r="18" spans="1:7" x14ac:dyDescent="0.25">
      <c r="A18" s="45"/>
      <c r="B18" s="43" t="s">
        <v>146</v>
      </c>
      <c r="C18" s="41" t="s">
        <v>3</v>
      </c>
      <c r="D18" s="43">
        <v>3885</v>
      </c>
      <c r="E18" s="43">
        <v>95</v>
      </c>
      <c r="F18" s="43">
        <v>3805</v>
      </c>
      <c r="G18" s="44">
        <v>95</v>
      </c>
    </row>
    <row r="19" spans="1:7" x14ac:dyDescent="0.25">
      <c r="A19" s="42"/>
      <c r="B19" s="46"/>
      <c r="C19" s="47" t="s">
        <v>9</v>
      </c>
      <c r="D19" s="46">
        <v>4285</v>
      </c>
      <c r="E19" s="46"/>
      <c r="F19" s="46"/>
      <c r="G19" s="48"/>
    </row>
    <row r="20" spans="1:7" x14ac:dyDescent="0.25">
      <c r="A20" s="45"/>
      <c r="B20" s="43" t="s">
        <v>143</v>
      </c>
      <c r="C20" s="41" t="s">
        <v>3</v>
      </c>
      <c r="D20" s="43">
        <v>4656</v>
      </c>
      <c r="E20" s="43">
        <v>95</v>
      </c>
      <c r="F20" s="43"/>
      <c r="G20" s="44"/>
    </row>
    <row r="21" spans="1:7" x14ac:dyDescent="0.25">
      <c r="A21" s="42"/>
      <c r="B21" s="46"/>
      <c r="C21" s="47" t="s">
        <v>7</v>
      </c>
      <c r="D21" s="46">
        <v>5280</v>
      </c>
      <c r="E21" s="46">
        <v>5</v>
      </c>
      <c r="F21" s="46"/>
      <c r="G21" s="48"/>
    </row>
    <row r="22" spans="1:7" x14ac:dyDescent="0.25">
      <c r="A22" s="42"/>
      <c r="B22" s="43"/>
      <c r="C22" s="41" t="s">
        <v>9</v>
      </c>
      <c r="D22" s="43">
        <v>5376</v>
      </c>
      <c r="E22" s="43"/>
      <c r="F22" s="43"/>
      <c r="G22" s="44"/>
    </row>
    <row r="23" spans="1:7" x14ac:dyDescent="0.25">
      <c r="A23" s="42"/>
      <c r="B23" s="43" t="s">
        <v>144</v>
      </c>
      <c r="C23" s="41" t="s">
        <v>3</v>
      </c>
      <c r="D23" s="43">
        <v>4656</v>
      </c>
      <c r="E23" s="43">
        <v>95</v>
      </c>
      <c r="F23" s="43"/>
      <c r="G23" s="44"/>
    </row>
    <row r="24" spans="1:7" x14ac:dyDescent="0.25">
      <c r="A24" s="45"/>
      <c r="B24" s="46"/>
      <c r="C24" s="47" t="s">
        <v>7</v>
      </c>
      <c r="D24" s="46">
        <v>5280</v>
      </c>
      <c r="E24" s="46">
        <v>5</v>
      </c>
      <c r="F24" s="108"/>
      <c r="G24" s="48"/>
    </row>
    <row r="25" spans="1:7" x14ac:dyDescent="0.25">
      <c r="A25" s="45"/>
      <c r="B25" s="43"/>
      <c r="C25" s="41" t="s">
        <v>9</v>
      </c>
      <c r="D25" s="43">
        <v>5376</v>
      </c>
      <c r="E25" s="109"/>
      <c r="F25" s="109"/>
      <c r="G25" s="44"/>
    </row>
    <row r="26" spans="1:7" x14ac:dyDescent="0.25">
      <c r="A26" s="45" t="s">
        <v>37</v>
      </c>
      <c r="B26" s="43" t="s">
        <v>49</v>
      </c>
      <c r="C26" s="98" t="s">
        <v>7</v>
      </c>
      <c r="D26" s="104">
        <v>1800</v>
      </c>
      <c r="E26" s="104">
        <v>35</v>
      </c>
      <c r="F26" s="104">
        <v>1800</v>
      </c>
      <c r="G26" s="96">
        <v>40</v>
      </c>
    </row>
    <row r="27" spans="1:7" x14ac:dyDescent="0.25">
      <c r="A27" s="42"/>
      <c r="B27" s="43" t="s">
        <v>48</v>
      </c>
      <c r="C27" s="99" t="s">
        <v>7</v>
      </c>
      <c r="D27" s="104">
        <v>1200</v>
      </c>
      <c r="E27" s="104">
        <v>15</v>
      </c>
      <c r="F27" s="104">
        <v>1200</v>
      </c>
      <c r="G27" s="96">
        <v>20</v>
      </c>
    </row>
    <row r="28" spans="1:7" x14ac:dyDescent="0.25">
      <c r="A28" s="42"/>
      <c r="B28" s="43"/>
      <c r="C28" s="100" t="s">
        <v>7</v>
      </c>
      <c r="D28" s="105">
        <v>800</v>
      </c>
      <c r="E28" s="105">
        <v>30</v>
      </c>
      <c r="F28" s="105">
        <v>800</v>
      </c>
      <c r="G28" s="97">
        <v>35</v>
      </c>
    </row>
    <row r="29" spans="1:7" x14ac:dyDescent="0.25">
      <c r="A29" s="42"/>
      <c r="B29" s="46"/>
      <c r="C29" s="101" t="s">
        <v>7</v>
      </c>
      <c r="D29" s="106">
        <v>400</v>
      </c>
      <c r="E29" s="106">
        <v>40</v>
      </c>
      <c r="F29" s="106">
        <v>400</v>
      </c>
      <c r="G29" s="85">
        <v>55</v>
      </c>
    </row>
    <row r="30" spans="1:7" x14ac:dyDescent="0.25">
      <c r="A30" s="45"/>
      <c r="B30" s="43" t="s">
        <v>39</v>
      </c>
      <c r="C30" s="102" t="s">
        <v>7</v>
      </c>
      <c r="D30" s="107">
        <v>2250</v>
      </c>
      <c r="E30" s="107">
        <v>2</v>
      </c>
      <c r="F30" s="107"/>
      <c r="G30" s="92"/>
    </row>
    <row r="31" spans="1:7" x14ac:dyDescent="0.25">
      <c r="A31" s="45"/>
      <c r="B31" s="46"/>
      <c r="C31" s="102" t="s">
        <v>8</v>
      </c>
      <c r="D31" s="107">
        <v>300</v>
      </c>
      <c r="E31" s="107"/>
      <c r="F31" s="107">
        <v>500</v>
      </c>
      <c r="G31" s="92"/>
    </row>
    <row r="32" spans="1:7" x14ac:dyDescent="0.25">
      <c r="A32" s="42"/>
      <c r="B32" s="43" t="s">
        <v>54</v>
      </c>
      <c r="C32" s="102" t="s">
        <v>9</v>
      </c>
      <c r="D32" s="107">
        <v>2003</v>
      </c>
      <c r="E32" s="107"/>
      <c r="F32" s="107"/>
      <c r="G32" s="92"/>
    </row>
    <row r="33" spans="1:7" x14ac:dyDescent="0.25">
      <c r="A33" s="42"/>
      <c r="B33" s="43" t="s">
        <v>59</v>
      </c>
      <c r="C33" s="102" t="s">
        <v>9</v>
      </c>
      <c r="D33" s="107">
        <v>4000</v>
      </c>
      <c r="E33" s="107"/>
      <c r="F33" s="107"/>
      <c r="G33" s="92"/>
    </row>
    <row r="34" spans="1:7" x14ac:dyDescent="0.25">
      <c r="A34" s="45"/>
      <c r="B34" s="43" t="s">
        <v>55</v>
      </c>
      <c r="C34" s="102" t="s">
        <v>9</v>
      </c>
      <c r="D34" s="107">
        <v>4000</v>
      </c>
      <c r="E34" s="107"/>
      <c r="F34" s="107"/>
      <c r="G34" s="92"/>
    </row>
    <row r="35" spans="1:7" x14ac:dyDescent="0.25">
      <c r="A35" s="42"/>
      <c r="B35" s="46" t="s">
        <v>56</v>
      </c>
      <c r="C35" s="102" t="s">
        <v>7</v>
      </c>
      <c r="D35" s="107">
        <v>3750</v>
      </c>
      <c r="E35" s="107">
        <v>50</v>
      </c>
      <c r="F35" s="107"/>
      <c r="G35" s="92"/>
    </row>
    <row r="36" spans="1:7" x14ac:dyDescent="0.25">
      <c r="A36" s="45"/>
      <c r="B36" s="43" t="s">
        <v>57</v>
      </c>
      <c r="C36" s="102" t="s">
        <v>7</v>
      </c>
      <c r="D36" s="107">
        <v>4005</v>
      </c>
      <c r="E36" s="107">
        <v>2</v>
      </c>
      <c r="F36" s="107">
        <v>4005</v>
      </c>
      <c r="G36" s="92">
        <v>5</v>
      </c>
    </row>
    <row r="37" spans="1:7" x14ac:dyDescent="0.25">
      <c r="A37" s="45"/>
      <c r="B37" s="46"/>
      <c r="C37" s="102" t="s">
        <v>7</v>
      </c>
      <c r="D37" s="107">
        <v>3400</v>
      </c>
      <c r="E37" s="107">
        <v>50</v>
      </c>
      <c r="F37" s="107"/>
      <c r="G37" s="92"/>
    </row>
    <row r="38" spans="1:7" x14ac:dyDescent="0.25">
      <c r="A38" s="42"/>
      <c r="B38" s="43" t="s">
        <v>40</v>
      </c>
      <c r="C38" s="102" t="s">
        <v>9</v>
      </c>
      <c r="D38" s="107">
        <v>5376</v>
      </c>
      <c r="E38" s="107"/>
      <c r="F38" s="107"/>
      <c r="G38" s="90"/>
    </row>
    <row r="39" spans="1:7" x14ac:dyDescent="0.25">
      <c r="A39" s="42"/>
      <c r="B39" s="46"/>
      <c r="C39" s="102"/>
      <c r="D39" s="107"/>
      <c r="E39" s="107"/>
      <c r="F39" s="107"/>
      <c r="G39" s="92"/>
    </row>
    <row r="40" spans="1:7" x14ac:dyDescent="0.25">
      <c r="A40" s="45"/>
      <c r="B40" s="43"/>
      <c r="C40" s="41"/>
      <c r="D40" s="43"/>
      <c r="E40" s="43"/>
      <c r="F40" s="43"/>
      <c r="G40" s="44"/>
    </row>
    <row r="41" spans="1:7" x14ac:dyDescent="0.25">
      <c r="A41" s="42"/>
      <c r="B41" s="46"/>
      <c r="C41" s="47"/>
      <c r="D41" s="46"/>
      <c r="E41" s="46"/>
      <c r="F41" s="46"/>
      <c r="G41" s="48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5"/>
      <c r="B43" s="43"/>
      <c r="C43" s="41"/>
      <c r="D43" s="43"/>
      <c r="E43" s="43"/>
      <c r="F43" s="43"/>
      <c r="G43" s="44"/>
    </row>
    <row r="44" spans="1:7" x14ac:dyDescent="0.25">
      <c r="A44" s="42"/>
      <c r="B44" s="43"/>
      <c r="C44" s="41"/>
      <c r="D44" s="43"/>
      <c r="E44" s="43"/>
      <c r="F44" s="43"/>
      <c r="G44" s="44"/>
    </row>
    <row r="45" spans="1:7" x14ac:dyDescent="0.25">
      <c r="A45" s="42"/>
      <c r="B45" s="46"/>
      <c r="C45" s="47"/>
      <c r="D45" s="46"/>
      <c r="E45" s="46"/>
      <c r="F45" s="46"/>
      <c r="G45" s="48"/>
    </row>
    <row r="46" spans="1:7" x14ac:dyDescent="0.25">
      <c r="A46" s="42"/>
      <c r="B46" s="43"/>
      <c r="C46" s="41"/>
      <c r="D46" s="43"/>
      <c r="E46" s="43"/>
      <c r="F46" s="43"/>
      <c r="G46" s="44"/>
    </row>
    <row r="47" spans="1:7" x14ac:dyDescent="0.25">
      <c r="A47" s="72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4" zoomScale="90" zoomScaleNormal="90" workbookViewId="0">
      <selection activeCell="E17" sqref="E17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62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26</v>
      </c>
      <c r="B5" s="27">
        <v>4005</v>
      </c>
      <c r="C5" s="27">
        <v>267</v>
      </c>
      <c r="D5" s="27">
        <v>15</v>
      </c>
      <c r="E5" s="28">
        <v>1</v>
      </c>
      <c r="G5" s="72" t="s">
        <v>123</v>
      </c>
    </row>
    <row r="6" spans="1:7" x14ac:dyDescent="0.25">
      <c r="A6" s="9" t="s">
        <v>53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26" t="s">
        <v>36</v>
      </c>
      <c r="B7" s="27">
        <v>4800</v>
      </c>
      <c r="C7" s="27">
        <v>320</v>
      </c>
      <c r="D7" s="27">
        <v>15</v>
      </c>
      <c r="E7" s="28">
        <v>1</v>
      </c>
    </row>
    <row r="8" spans="1:7" x14ac:dyDescent="0.25">
      <c r="A8" s="9" t="s">
        <v>63</v>
      </c>
      <c r="B8" s="10">
        <v>4005</v>
      </c>
      <c r="C8" s="10">
        <v>267</v>
      </c>
      <c r="D8" s="10">
        <v>15</v>
      </c>
      <c r="E8" s="11">
        <v>1</v>
      </c>
    </row>
    <row r="9" spans="1:7" x14ac:dyDescent="0.25">
      <c r="A9" s="26"/>
      <c r="B9" s="27"/>
      <c r="C9" s="27"/>
      <c r="D9" s="27"/>
      <c r="E9" s="28"/>
    </row>
    <row r="11" spans="1:7" x14ac:dyDescent="0.25">
      <c r="A11" s="29" t="s">
        <v>27</v>
      </c>
      <c r="B11" s="30" t="s">
        <v>20</v>
      </c>
      <c r="C11" s="30" t="s">
        <v>28</v>
      </c>
      <c r="D11" s="30" t="s">
        <v>29</v>
      </c>
      <c r="E11" s="30" t="s">
        <v>30</v>
      </c>
      <c r="F11" s="30" t="s">
        <v>31</v>
      </c>
      <c r="G11" s="31" t="s">
        <v>32</v>
      </c>
    </row>
    <row r="12" spans="1:7" x14ac:dyDescent="0.25">
      <c r="A12" s="42" t="s">
        <v>33</v>
      </c>
      <c r="B12" s="43" t="s">
        <v>26</v>
      </c>
      <c r="C12" s="47" t="s">
        <v>3</v>
      </c>
      <c r="D12" s="43">
        <v>3885</v>
      </c>
      <c r="E12" s="43">
        <v>95</v>
      </c>
      <c r="F12" s="43">
        <v>3805</v>
      </c>
      <c r="G12" s="44">
        <v>95</v>
      </c>
    </row>
    <row r="13" spans="1:7" x14ac:dyDescent="0.25">
      <c r="A13" s="45"/>
      <c r="B13" s="43"/>
      <c r="C13" s="41" t="s">
        <v>7</v>
      </c>
      <c r="D13" s="43">
        <v>4320</v>
      </c>
      <c r="E13" s="43">
        <v>50</v>
      </c>
      <c r="F13" s="43"/>
      <c r="G13" s="44"/>
    </row>
    <row r="14" spans="1:7" x14ac:dyDescent="0.25">
      <c r="A14" s="42"/>
      <c r="B14" s="46"/>
      <c r="C14" s="41" t="s">
        <v>7</v>
      </c>
      <c r="D14" s="43">
        <v>4800</v>
      </c>
      <c r="E14" s="43">
        <v>35</v>
      </c>
      <c r="F14" s="46"/>
      <c r="G14" s="48"/>
    </row>
    <row r="15" spans="1:7" x14ac:dyDescent="0.25">
      <c r="A15" s="45"/>
      <c r="B15" s="43" t="s">
        <v>53</v>
      </c>
      <c r="C15" s="47" t="s">
        <v>3</v>
      </c>
      <c r="D15" s="43">
        <v>3805</v>
      </c>
      <c r="E15" s="43">
        <v>95</v>
      </c>
      <c r="F15" s="43"/>
      <c r="G15" s="44"/>
    </row>
    <row r="16" spans="1:7" x14ac:dyDescent="0.25">
      <c r="A16" s="42"/>
      <c r="B16" s="46"/>
      <c r="C16" s="47" t="s">
        <v>9</v>
      </c>
      <c r="D16" s="46">
        <v>4285</v>
      </c>
      <c r="E16" s="46"/>
      <c r="F16" s="46"/>
      <c r="G16" s="48"/>
    </row>
    <row r="17" spans="1:7" x14ac:dyDescent="0.25">
      <c r="A17" s="45"/>
      <c r="B17" s="43" t="s">
        <v>63</v>
      </c>
      <c r="C17" s="47" t="s">
        <v>3</v>
      </c>
      <c r="D17" s="43">
        <v>3805</v>
      </c>
      <c r="E17" s="43">
        <v>95</v>
      </c>
      <c r="F17" s="43"/>
      <c r="G17" s="44"/>
    </row>
    <row r="18" spans="1:7" x14ac:dyDescent="0.25">
      <c r="A18" s="42"/>
      <c r="B18" s="46"/>
      <c r="C18" s="47" t="s">
        <v>9</v>
      </c>
      <c r="D18" s="46">
        <v>4285</v>
      </c>
      <c r="E18" s="46"/>
      <c r="F18" s="46"/>
      <c r="G18" s="48"/>
    </row>
    <row r="19" spans="1:7" x14ac:dyDescent="0.25">
      <c r="A19" s="45"/>
      <c r="B19" s="43" t="s">
        <v>36</v>
      </c>
      <c r="C19" s="47" t="s">
        <v>3</v>
      </c>
      <c r="D19" s="43">
        <v>4656</v>
      </c>
      <c r="E19" s="43">
        <v>95</v>
      </c>
      <c r="F19" s="43"/>
      <c r="G19" s="44"/>
    </row>
    <row r="20" spans="1:7" x14ac:dyDescent="0.25">
      <c r="A20" s="42"/>
      <c r="B20" s="46"/>
      <c r="C20" s="47" t="s">
        <v>7</v>
      </c>
      <c r="D20" s="46">
        <v>5280</v>
      </c>
      <c r="E20" s="46">
        <v>5</v>
      </c>
      <c r="F20" s="46"/>
      <c r="G20" s="48"/>
    </row>
    <row r="21" spans="1:7" x14ac:dyDescent="0.25">
      <c r="A21" s="45" t="s">
        <v>37</v>
      </c>
      <c r="B21" s="43"/>
      <c r="C21" s="41" t="s">
        <v>9</v>
      </c>
      <c r="D21" s="43">
        <v>5376</v>
      </c>
      <c r="E21" s="43"/>
      <c r="F21" s="43"/>
      <c r="G21" s="44"/>
    </row>
    <row r="22" spans="1:7" x14ac:dyDescent="0.25">
      <c r="A22" s="42"/>
      <c r="B22" s="46" t="s">
        <v>47</v>
      </c>
      <c r="C22" s="47" t="s">
        <v>7</v>
      </c>
      <c r="D22" s="46">
        <v>300</v>
      </c>
      <c r="E22" s="46">
        <v>10</v>
      </c>
      <c r="F22" s="46">
        <v>500</v>
      </c>
      <c r="G22" s="48">
        <v>10</v>
      </c>
    </row>
    <row r="23" spans="1:7" x14ac:dyDescent="0.25">
      <c r="A23" s="42"/>
      <c r="B23" s="43" t="s">
        <v>48</v>
      </c>
      <c r="C23" s="41" t="s">
        <v>7</v>
      </c>
      <c r="D23" s="43">
        <v>1800</v>
      </c>
      <c r="E23" s="43">
        <v>35</v>
      </c>
      <c r="F23" s="43">
        <v>1800</v>
      </c>
      <c r="G23" s="44">
        <v>40</v>
      </c>
    </row>
    <row r="24" spans="1:7" x14ac:dyDescent="0.25">
      <c r="A24" s="42"/>
      <c r="B24" s="43" t="s">
        <v>49</v>
      </c>
      <c r="C24" s="47" t="s">
        <v>7</v>
      </c>
      <c r="D24" s="46">
        <v>480</v>
      </c>
      <c r="E24" s="46">
        <v>10</v>
      </c>
      <c r="F24" s="46">
        <v>480</v>
      </c>
      <c r="G24" s="48">
        <v>15</v>
      </c>
    </row>
    <row r="25" spans="1:7" x14ac:dyDescent="0.25">
      <c r="A25" s="45"/>
      <c r="B25" s="43" t="s">
        <v>39</v>
      </c>
      <c r="C25" s="41" t="s">
        <v>7</v>
      </c>
      <c r="D25" s="43">
        <v>2250</v>
      </c>
      <c r="E25" s="43">
        <v>2</v>
      </c>
      <c r="F25" s="43"/>
      <c r="G25" s="44"/>
    </row>
    <row r="26" spans="1:7" x14ac:dyDescent="0.25">
      <c r="A26" s="45"/>
      <c r="B26" s="46"/>
      <c r="C26" s="47" t="s">
        <v>8</v>
      </c>
      <c r="D26" s="46">
        <v>300</v>
      </c>
      <c r="E26" s="46"/>
      <c r="F26" s="46">
        <v>500</v>
      </c>
      <c r="G26" s="48"/>
    </row>
    <row r="27" spans="1:7" x14ac:dyDescent="0.25">
      <c r="A27" s="42"/>
      <c r="B27" s="43" t="s">
        <v>54</v>
      </c>
      <c r="C27" s="41" t="s">
        <v>9</v>
      </c>
      <c r="D27" s="43">
        <v>2003</v>
      </c>
      <c r="E27" s="43"/>
      <c r="F27" s="43"/>
      <c r="G27" s="44"/>
    </row>
    <row r="28" spans="1:7" x14ac:dyDescent="0.25">
      <c r="A28" s="42"/>
      <c r="B28" s="43" t="s">
        <v>55</v>
      </c>
      <c r="C28" s="41" t="s">
        <v>9</v>
      </c>
      <c r="D28" s="43">
        <v>4000</v>
      </c>
      <c r="E28" s="43"/>
      <c r="F28" s="43"/>
      <c r="G28" s="44"/>
    </row>
    <row r="29" spans="1:7" x14ac:dyDescent="0.25">
      <c r="A29" s="45"/>
      <c r="B29" s="46" t="s">
        <v>56</v>
      </c>
      <c r="C29" s="47" t="s">
        <v>7</v>
      </c>
      <c r="D29" s="46">
        <v>3750</v>
      </c>
      <c r="E29" s="46">
        <v>50</v>
      </c>
      <c r="F29" s="46"/>
      <c r="G29" s="48"/>
    </row>
    <row r="30" spans="1:7" x14ac:dyDescent="0.25">
      <c r="A30" s="42"/>
      <c r="B30" s="43" t="s">
        <v>57</v>
      </c>
      <c r="C30" s="47" t="s">
        <v>7</v>
      </c>
      <c r="D30" s="43">
        <v>4005</v>
      </c>
      <c r="E30" s="43">
        <v>2</v>
      </c>
      <c r="F30" s="43">
        <v>4005</v>
      </c>
      <c r="G30" s="44">
        <v>5</v>
      </c>
    </row>
    <row r="31" spans="1:7" x14ac:dyDescent="0.25">
      <c r="A31" s="45"/>
      <c r="B31" s="46"/>
      <c r="C31" s="41" t="s">
        <v>7</v>
      </c>
      <c r="D31" s="46">
        <v>3400</v>
      </c>
      <c r="E31" s="46">
        <v>50</v>
      </c>
      <c r="F31" s="46"/>
      <c r="G31" s="48"/>
    </row>
    <row r="32" spans="1:7" x14ac:dyDescent="0.25">
      <c r="A32" s="42"/>
      <c r="B32" s="43" t="s">
        <v>40</v>
      </c>
      <c r="C32" s="41" t="s">
        <v>9</v>
      </c>
      <c r="D32" s="43">
        <v>5136</v>
      </c>
      <c r="E32" s="43"/>
      <c r="F32" s="43"/>
      <c r="G32" s="43"/>
    </row>
    <row r="33" spans="1:7" x14ac:dyDescent="0.25">
      <c r="A33" s="45"/>
      <c r="B33" s="43"/>
      <c r="C33" s="41"/>
      <c r="D33" s="43"/>
      <c r="E33" s="43"/>
      <c r="F33" s="43"/>
      <c r="G33" s="44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t="s">
        <v>41</v>
      </c>
      <c r="B46" s="46"/>
      <c r="C46" s="47"/>
      <c r="D46" s="46"/>
      <c r="E46" s="46"/>
      <c r="F46" s="46"/>
      <c r="G46" s="48"/>
    </row>
    <row r="47" spans="1:7" x14ac:dyDescent="0.25">
      <c r="A47" s="42"/>
      <c r="B47" s="43"/>
      <c r="C47" s="41"/>
      <c r="D47" s="43"/>
      <c r="E47" s="43"/>
      <c r="F47" s="43"/>
      <c r="G47" s="44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7" zoomScale="90" zoomScaleNormal="90" workbookViewId="0">
      <selection activeCell="B35" sqref="B35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64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43</v>
      </c>
      <c r="B5" s="27">
        <v>4005</v>
      </c>
      <c r="C5" s="27">
        <v>267</v>
      </c>
      <c r="D5" s="27">
        <v>15</v>
      </c>
      <c r="E5" s="28">
        <v>1</v>
      </c>
      <c r="G5" s="72" t="s">
        <v>123</v>
      </c>
    </row>
    <row r="6" spans="1:7" x14ac:dyDescent="0.25">
      <c r="A6" s="9" t="s">
        <v>53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26" t="s">
        <v>36</v>
      </c>
      <c r="B7" s="27">
        <v>4800</v>
      </c>
      <c r="C7" s="27">
        <v>320</v>
      </c>
      <c r="D7" s="27">
        <v>15</v>
      </c>
      <c r="E7" s="28">
        <v>1</v>
      </c>
    </row>
    <row r="8" spans="1:7" x14ac:dyDescent="0.25">
      <c r="A8" s="9" t="s">
        <v>63</v>
      </c>
      <c r="B8" s="10">
        <v>4005</v>
      </c>
      <c r="C8" s="10">
        <v>267</v>
      </c>
      <c r="D8" s="10">
        <v>15</v>
      </c>
      <c r="E8" s="11">
        <v>1</v>
      </c>
    </row>
    <row r="9" spans="1:7" x14ac:dyDescent="0.25">
      <c r="A9" s="26"/>
      <c r="B9" s="27"/>
      <c r="C9" s="27"/>
      <c r="D9" s="27"/>
      <c r="E9" s="28"/>
    </row>
    <row r="11" spans="1:7" x14ac:dyDescent="0.25">
      <c r="A11" s="29" t="s">
        <v>27</v>
      </c>
      <c r="B11" s="30" t="s">
        <v>20</v>
      </c>
      <c r="C11" s="30" t="s">
        <v>28</v>
      </c>
      <c r="D11" s="30" t="s">
        <v>29</v>
      </c>
      <c r="E11" s="30" t="s">
        <v>30</v>
      </c>
      <c r="F11" s="30" t="s">
        <v>31</v>
      </c>
      <c r="G11" s="31" t="s">
        <v>32</v>
      </c>
    </row>
    <row r="12" spans="1:7" x14ac:dyDescent="0.25">
      <c r="A12" s="42" t="s">
        <v>33</v>
      </c>
      <c r="B12" s="43" t="s">
        <v>43</v>
      </c>
      <c r="C12" s="47" t="s">
        <v>3</v>
      </c>
      <c r="D12" s="43">
        <v>3885</v>
      </c>
      <c r="E12" s="43">
        <v>95</v>
      </c>
      <c r="F12" s="43">
        <v>3805</v>
      </c>
      <c r="G12" s="44">
        <v>95</v>
      </c>
    </row>
    <row r="13" spans="1:7" x14ac:dyDescent="0.25">
      <c r="A13" s="45"/>
      <c r="B13" s="46"/>
      <c r="C13" s="41" t="s">
        <v>7</v>
      </c>
      <c r="D13" s="43">
        <v>4320</v>
      </c>
      <c r="E13" s="43">
        <v>50</v>
      </c>
      <c r="F13" s="43"/>
      <c r="G13" s="44"/>
    </row>
    <row r="14" spans="1:7" x14ac:dyDescent="0.25">
      <c r="A14" s="42"/>
      <c r="B14" s="43"/>
      <c r="C14" s="41" t="s">
        <v>7</v>
      </c>
      <c r="D14" s="43">
        <v>4800</v>
      </c>
      <c r="E14" s="43">
        <v>35</v>
      </c>
      <c r="F14" s="46"/>
      <c r="G14" s="48"/>
    </row>
    <row r="15" spans="1:7" x14ac:dyDescent="0.25">
      <c r="A15" s="45"/>
      <c r="B15" s="43" t="s">
        <v>53</v>
      </c>
      <c r="C15" s="47" t="s">
        <v>3</v>
      </c>
      <c r="D15" s="43">
        <v>3805</v>
      </c>
      <c r="E15" s="43">
        <v>95</v>
      </c>
      <c r="F15" s="43"/>
      <c r="G15" s="44"/>
    </row>
    <row r="16" spans="1:7" x14ac:dyDescent="0.25">
      <c r="A16" s="42"/>
      <c r="B16" s="46"/>
      <c r="C16" s="47" t="s">
        <v>9</v>
      </c>
      <c r="D16" s="46">
        <v>4285</v>
      </c>
      <c r="E16" s="46"/>
      <c r="F16" s="46"/>
      <c r="G16" s="48"/>
    </row>
    <row r="17" spans="1:7" x14ac:dyDescent="0.25">
      <c r="A17" s="45"/>
      <c r="B17" s="43" t="s">
        <v>63</v>
      </c>
      <c r="C17" s="47" t="s">
        <v>3</v>
      </c>
      <c r="D17" s="43">
        <v>3805</v>
      </c>
      <c r="E17" s="43">
        <v>95</v>
      </c>
      <c r="F17" s="43"/>
      <c r="G17" s="44"/>
    </row>
    <row r="18" spans="1:7" x14ac:dyDescent="0.25">
      <c r="A18" s="42"/>
      <c r="B18" s="46"/>
      <c r="C18" s="47" t="s">
        <v>9</v>
      </c>
      <c r="D18" s="46">
        <v>4285</v>
      </c>
      <c r="E18" s="46"/>
      <c r="F18" s="46"/>
      <c r="G18" s="48"/>
    </row>
    <row r="19" spans="1:7" x14ac:dyDescent="0.25">
      <c r="A19" s="45"/>
      <c r="B19" s="43" t="s">
        <v>36</v>
      </c>
      <c r="C19" s="47" t="s">
        <v>3</v>
      </c>
      <c r="D19" s="43">
        <v>4656</v>
      </c>
      <c r="E19" s="43">
        <v>95</v>
      </c>
      <c r="F19" s="43"/>
      <c r="G19" s="44"/>
    </row>
    <row r="20" spans="1:7" x14ac:dyDescent="0.25">
      <c r="A20" s="42"/>
      <c r="B20" s="46"/>
      <c r="C20" s="47" t="s">
        <v>7</v>
      </c>
      <c r="D20" s="46">
        <v>5280</v>
      </c>
      <c r="E20" s="46">
        <v>5</v>
      </c>
      <c r="F20" s="46"/>
      <c r="G20" s="48"/>
    </row>
    <row r="21" spans="1:7" x14ac:dyDescent="0.25">
      <c r="A21" s="45" t="s">
        <v>37</v>
      </c>
      <c r="B21" s="43"/>
      <c r="C21" s="41" t="s">
        <v>9</v>
      </c>
      <c r="D21" s="43">
        <v>5376</v>
      </c>
      <c r="E21" s="43"/>
      <c r="F21" s="43"/>
      <c r="G21" s="44"/>
    </row>
    <row r="22" spans="1:7" x14ac:dyDescent="0.25">
      <c r="A22" s="42"/>
      <c r="B22" s="46" t="s">
        <v>51</v>
      </c>
      <c r="C22" s="47" t="s">
        <v>7</v>
      </c>
      <c r="D22" s="46">
        <v>300</v>
      </c>
      <c r="E22" s="46">
        <v>10</v>
      </c>
      <c r="F22" s="46">
        <v>500</v>
      </c>
      <c r="G22" s="48">
        <v>10</v>
      </c>
    </row>
    <row r="23" spans="1:7" x14ac:dyDescent="0.25">
      <c r="A23" s="42"/>
      <c r="B23" s="43" t="s">
        <v>49</v>
      </c>
      <c r="C23" s="41" t="s">
        <v>7</v>
      </c>
      <c r="D23" s="43">
        <v>1800</v>
      </c>
      <c r="E23" s="43">
        <v>35</v>
      </c>
      <c r="F23" s="43">
        <v>1800</v>
      </c>
      <c r="G23" s="44">
        <v>40</v>
      </c>
    </row>
    <row r="24" spans="1:7" x14ac:dyDescent="0.25">
      <c r="A24" s="42"/>
      <c r="B24" s="43" t="s">
        <v>48</v>
      </c>
      <c r="C24" s="47" t="s">
        <v>7</v>
      </c>
      <c r="D24" s="46">
        <v>480</v>
      </c>
      <c r="E24" s="46">
        <v>10</v>
      </c>
      <c r="F24" s="46">
        <v>480</v>
      </c>
      <c r="G24" s="48">
        <v>15</v>
      </c>
    </row>
    <row r="25" spans="1:7" x14ac:dyDescent="0.25">
      <c r="A25" s="45"/>
      <c r="B25" s="43" t="s">
        <v>39</v>
      </c>
      <c r="C25" s="41" t="s">
        <v>7</v>
      </c>
      <c r="D25" s="43">
        <v>2250</v>
      </c>
      <c r="E25" s="43">
        <v>2</v>
      </c>
      <c r="F25" s="43"/>
      <c r="G25" s="44"/>
    </row>
    <row r="26" spans="1:7" x14ac:dyDescent="0.25">
      <c r="A26" s="45"/>
      <c r="B26" s="46"/>
      <c r="C26" s="47" t="s">
        <v>8</v>
      </c>
      <c r="D26" s="46">
        <v>300</v>
      </c>
      <c r="E26" s="46"/>
      <c r="F26" s="46">
        <v>500</v>
      </c>
      <c r="G26" s="48"/>
    </row>
    <row r="27" spans="1:7" x14ac:dyDescent="0.25">
      <c r="A27" s="42"/>
      <c r="B27" s="43" t="s">
        <v>54</v>
      </c>
      <c r="C27" s="41" t="s">
        <v>9</v>
      </c>
      <c r="D27" s="43">
        <v>2003</v>
      </c>
      <c r="E27" s="43"/>
      <c r="F27" s="43"/>
      <c r="G27" s="44"/>
    </row>
    <row r="28" spans="1:7" x14ac:dyDescent="0.25">
      <c r="A28" s="42"/>
      <c r="B28" s="43" t="s">
        <v>59</v>
      </c>
      <c r="C28" s="41" t="s">
        <v>9</v>
      </c>
      <c r="D28" s="43">
        <v>4000</v>
      </c>
      <c r="E28" s="43"/>
      <c r="F28" s="43"/>
      <c r="G28" s="44"/>
    </row>
    <row r="29" spans="1:7" x14ac:dyDescent="0.25">
      <c r="A29" s="45"/>
      <c r="B29" s="46" t="s">
        <v>56</v>
      </c>
      <c r="C29" s="47" t="s">
        <v>7</v>
      </c>
      <c r="D29" s="46">
        <v>3750</v>
      </c>
      <c r="E29" s="46">
        <v>50</v>
      </c>
      <c r="F29" s="46"/>
      <c r="G29" s="48"/>
    </row>
    <row r="30" spans="1:7" x14ac:dyDescent="0.25">
      <c r="A30" s="42"/>
      <c r="B30" s="43" t="s">
        <v>57</v>
      </c>
      <c r="C30" s="47" t="s">
        <v>7</v>
      </c>
      <c r="D30" s="43">
        <v>4005</v>
      </c>
      <c r="E30" s="43">
        <v>2</v>
      </c>
      <c r="F30" s="43">
        <v>4005</v>
      </c>
      <c r="G30" s="44">
        <v>5</v>
      </c>
    </row>
    <row r="31" spans="1:7" x14ac:dyDescent="0.25">
      <c r="A31" s="45"/>
      <c r="B31" s="46"/>
      <c r="C31" s="47" t="s">
        <v>7</v>
      </c>
      <c r="D31" s="46">
        <v>3400</v>
      </c>
      <c r="E31" s="46">
        <v>50</v>
      </c>
      <c r="F31" s="46"/>
      <c r="G31" s="48"/>
    </row>
    <row r="32" spans="1:7" x14ac:dyDescent="0.25">
      <c r="A32" s="42"/>
      <c r="B32" s="43" t="s">
        <v>44</v>
      </c>
      <c r="C32" s="41" t="s">
        <v>7</v>
      </c>
      <c r="D32" s="43">
        <v>1500</v>
      </c>
      <c r="E32" s="43">
        <v>3</v>
      </c>
      <c r="F32" s="43"/>
      <c r="G32" s="43"/>
    </row>
    <row r="33" spans="1:7" x14ac:dyDescent="0.25">
      <c r="A33" s="45"/>
      <c r="B33" s="46"/>
      <c r="C33" s="47" t="s">
        <v>8</v>
      </c>
      <c r="D33" s="46">
        <v>500</v>
      </c>
      <c r="E33" s="46"/>
      <c r="F33" s="46"/>
      <c r="G33" s="48"/>
    </row>
    <row r="34" spans="1:7" x14ac:dyDescent="0.25">
      <c r="A34" s="42"/>
      <c r="B34" s="46" t="s">
        <v>40</v>
      </c>
      <c r="C34" s="41" t="s">
        <v>9</v>
      </c>
      <c r="D34" s="43">
        <v>5136</v>
      </c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3"/>
      <c r="C36" s="41"/>
      <c r="D36" s="43"/>
      <c r="E36" s="43"/>
      <c r="F36" s="43"/>
      <c r="G36" s="44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t="s">
        <v>41</v>
      </c>
      <c r="B46" s="46"/>
      <c r="C46" s="47"/>
      <c r="D46" s="46"/>
      <c r="E46" s="46"/>
      <c r="F46" s="46"/>
      <c r="G46" s="48"/>
    </row>
    <row r="47" spans="1:7" x14ac:dyDescent="0.25">
      <c r="A47" s="42"/>
      <c r="B47" s="43"/>
      <c r="C47" s="41"/>
      <c r="D47" s="43"/>
      <c r="E47" s="43"/>
      <c r="F47" s="43"/>
      <c r="G47" s="44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110" zoomScaleNormal="110" workbookViewId="0">
      <selection activeCell="B21" sqref="B21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65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40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66</v>
      </c>
      <c r="B5" s="27">
        <v>4005</v>
      </c>
      <c r="C5" s="27">
        <v>267</v>
      </c>
      <c r="D5" s="27">
        <f>LECHO_I!$B5/LECHO_I!$C5</f>
        <v>15</v>
      </c>
      <c r="E5" s="28">
        <v>1</v>
      </c>
      <c r="G5" s="72" t="s">
        <v>127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42" t="s">
        <v>33</v>
      </c>
      <c r="B8" s="43" t="s">
        <v>66</v>
      </c>
      <c r="C8" s="41" t="s">
        <v>3</v>
      </c>
      <c r="D8" s="43">
        <v>3885</v>
      </c>
      <c r="E8" s="43">
        <v>95</v>
      </c>
      <c r="F8" s="43">
        <v>3805</v>
      </c>
      <c r="G8" s="44">
        <v>95</v>
      </c>
    </row>
    <row r="9" spans="1:7" x14ac:dyDescent="0.25">
      <c r="A9" s="45"/>
      <c r="B9" s="46"/>
      <c r="C9" s="47" t="s">
        <v>9</v>
      </c>
      <c r="D9" s="46">
        <v>4285</v>
      </c>
      <c r="E9" s="46"/>
      <c r="F9" s="46"/>
      <c r="G9" s="48"/>
    </row>
    <row r="10" spans="1:7" x14ac:dyDescent="0.25">
      <c r="A10" s="45" t="s">
        <v>37</v>
      </c>
      <c r="B10" s="46" t="s">
        <v>47</v>
      </c>
      <c r="C10" s="47" t="s">
        <v>9</v>
      </c>
      <c r="D10" s="46">
        <v>240</v>
      </c>
      <c r="E10" s="46"/>
      <c r="F10" s="46">
        <v>384</v>
      </c>
      <c r="G10" s="48"/>
    </row>
    <row r="11" spans="1:7" x14ac:dyDescent="0.25">
      <c r="A11" s="42"/>
      <c r="B11" s="43"/>
      <c r="C11" s="41" t="s">
        <v>7</v>
      </c>
      <c r="D11" s="43">
        <v>144</v>
      </c>
      <c r="E11" s="43">
        <v>5</v>
      </c>
      <c r="F11" s="43">
        <v>240</v>
      </c>
      <c r="G11" s="44">
        <v>5</v>
      </c>
    </row>
    <row r="12" spans="1:7" x14ac:dyDescent="0.25">
      <c r="A12" s="45"/>
      <c r="B12" s="46" t="s">
        <v>48</v>
      </c>
      <c r="C12" s="47" t="s">
        <v>7</v>
      </c>
      <c r="D12" s="46">
        <v>1200</v>
      </c>
      <c r="E12" s="46">
        <v>15</v>
      </c>
      <c r="F12" s="46">
        <v>1200</v>
      </c>
      <c r="G12" s="48">
        <v>20</v>
      </c>
    </row>
    <row r="13" spans="1:7" x14ac:dyDescent="0.25">
      <c r="A13" s="42"/>
      <c r="B13" s="43"/>
      <c r="C13" s="41" t="s">
        <v>7</v>
      </c>
      <c r="D13" s="43">
        <v>800</v>
      </c>
      <c r="E13" s="43">
        <v>30</v>
      </c>
      <c r="F13" s="43">
        <v>800</v>
      </c>
      <c r="G13" s="44">
        <v>35</v>
      </c>
    </row>
    <row r="14" spans="1:7" x14ac:dyDescent="0.25">
      <c r="A14" s="45"/>
      <c r="B14" s="46"/>
      <c r="C14" s="47" t="s">
        <v>7</v>
      </c>
      <c r="D14" s="46">
        <v>400</v>
      </c>
      <c r="E14" s="46">
        <v>40</v>
      </c>
      <c r="F14" s="46">
        <v>400</v>
      </c>
      <c r="G14" s="48">
        <v>55</v>
      </c>
    </row>
    <row r="15" spans="1:7" x14ac:dyDescent="0.25">
      <c r="A15" s="42"/>
      <c r="B15" s="43" t="s">
        <v>49</v>
      </c>
      <c r="C15" s="41" t="s">
        <v>7</v>
      </c>
      <c r="D15" s="43">
        <v>400</v>
      </c>
      <c r="E15" s="43">
        <v>10</v>
      </c>
      <c r="F15" s="43"/>
      <c r="G15" s="44"/>
    </row>
    <row r="16" spans="1:7" x14ac:dyDescent="0.25">
      <c r="A16" s="45"/>
      <c r="B16" s="46" t="s">
        <v>39</v>
      </c>
      <c r="C16" s="47" t="s">
        <v>7</v>
      </c>
      <c r="D16" s="46">
        <v>1600</v>
      </c>
      <c r="E16" s="46">
        <v>5</v>
      </c>
      <c r="F16" s="46"/>
      <c r="G16" s="48"/>
    </row>
    <row r="17" spans="1:7" x14ac:dyDescent="0.25">
      <c r="A17" s="42"/>
      <c r="B17" s="43"/>
      <c r="C17" s="41" t="s">
        <v>7</v>
      </c>
      <c r="D17" s="43">
        <v>800</v>
      </c>
      <c r="E17" s="43">
        <v>30</v>
      </c>
      <c r="F17" s="43"/>
      <c r="G17" s="44"/>
    </row>
    <row r="18" spans="1:7" x14ac:dyDescent="0.25">
      <c r="A18" s="45"/>
      <c r="B18" s="46"/>
      <c r="C18" s="47" t="s">
        <v>8</v>
      </c>
      <c r="D18" s="46">
        <v>320</v>
      </c>
      <c r="E18" s="46"/>
      <c r="F18" s="46">
        <v>400</v>
      </c>
      <c r="G18" s="48"/>
    </row>
    <row r="19" spans="1:7" x14ac:dyDescent="0.25">
      <c r="A19" s="42"/>
      <c r="B19" s="43" t="s">
        <v>40</v>
      </c>
      <c r="C19" s="47" t="s">
        <v>9</v>
      </c>
      <c r="D19" s="43">
        <v>4285</v>
      </c>
      <c r="E19" s="43"/>
      <c r="F19" s="43"/>
      <c r="G19" s="44"/>
    </row>
    <row r="20" spans="1:7" x14ac:dyDescent="0.25">
      <c r="A20" s="45"/>
      <c r="B20" s="46"/>
      <c r="C20" s="47"/>
      <c r="D20" s="46"/>
      <c r="E20" s="46"/>
      <c r="F20" s="46"/>
      <c r="G20" s="48"/>
    </row>
    <row r="21" spans="1:7" x14ac:dyDescent="0.25">
      <c r="A21" s="42"/>
      <c r="B21" s="43"/>
      <c r="C21" s="47"/>
      <c r="D21" s="43"/>
      <c r="E21" s="43"/>
      <c r="F21" s="43"/>
      <c r="G21" s="44"/>
    </row>
    <row r="22" spans="1:7" x14ac:dyDescent="0.25">
      <c r="A22" s="45"/>
      <c r="B22" s="46"/>
      <c r="C22" s="47"/>
      <c r="D22" s="46"/>
      <c r="E22" s="46"/>
      <c r="F22" s="46"/>
      <c r="G22" s="48"/>
    </row>
    <row r="23" spans="1:7" x14ac:dyDescent="0.25">
      <c r="A23" s="42"/>
      <c r="B23" s="43"/>
      <c r="C23" s="41"/>
      <c r="D23" s="43"/>
      <c r="E23" s="43"/>
      <c r="F23" s="43"/>
      <c r="G23" s="44"/>
    </row>
    <row r="24" spans="1:7" x14ac:dyDescent="0.25">
      <c r="A24" s="45"/>
      <c r="B24" s="46"/>
      <c r="C24" s="47"/>
      <c r="D24" s="46"/>
      <c r="E24" s="46"/>
      <c r="F24" s="46"/>
      <c r="G24" s="48"/>
    </row>
    <row r="25" spans="1:7" x14ac:dyDescent="0.25">
      <c r="A25" s="42"/>
      <c r="B25" s="43"/>
      <c r="C25" s="41"/>
      <c r="D25" s="43"/>
      <c r="E25" s="43"/>
      <c r="F25" s="43"/>
      <c r="G25" s="44"/>
    </row>
    <row r="26" spans="1:7" x14ac:dyDescent="0.25">
      <c r="A26" s="45"/>
      <c r="B26" s="46"/>
      <c r="C26" s="47"/>
      <c r="D26" s="46"/>
      <c r="E26" s="46"/>
      <c r="F26" s="46"/>
      <c r="G26" s="48"/>
    </row>
    <row r="27" spans="1:7" x14ac:dyDescent="0.25">
      <c r="A27" s="42"/>
      <c r="B27" s="43"/>
      <c r="C27" s="41"/>
      <c r="D27" s="43"/>
      <c r="E27" s="43"/>
      <c r="F27" s="43"/>
      <c r="G27" s="44"/>
    </row>
    <row r="28" spans="1:7" x14ac:dyDescent="0.25">
      <c r="A28" s="45"/>
      <c r="B28" s="46"/>
      <c r="C28" s="47"/>
      <c r="D28" s="46"/>
      <c r="E28" s="46"/>
      <c r="F28" s="46"/>
      <c r="G28" s="48"/>
    </row>
    <row r="29" spans="1:7" x14ac:dyDescent="0.25">
      <c r="A29" s="42"/>
      <c r="B29" s="43"/>
      <c r="C29" s="41"/>
      <c r="D29" s="43"/>
      <c r="E29" s="43"/>
      <c r="F29" s="43"/>
      <c r="G29" s="44"/>
    </row>
    <row r="30" spans="1:7" x14ac:dyDescent="0.25">
      <c r="A30" s="45"/>
      <c r="B30" s="46"/>
      <c r="C30" s="47"/>
      <c r="D30" s="46"/>
      <c r="E30" s="46"/>
      <c r="F30" s="46"/>
      <c r="G30" s="48"/>
    </row>
    <row r="31" spans="1:7" x14ac:dyDescent="0.25">
      <c r="A31" s="42"/>
      <c r="B31" s="43"/>
      <c r="C31" s="41"/>
      <c r="D31" s="43"/>
      <c r="E31" s="43"/>
      <c r="F31" s="43"/>
      <c r="G31" s="44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5"/>
      <c r="B40" s="6"/>
      <c r="C40" s="7"/>
      <c r="D40" s="6"/>
      <c r="E40" s="6"/>
      <c r="F40" s="6"/>
      <c r="G40" s="8"/>
    </row>
    <row r="46" spans="1:7" x14ac:dyDescent="0.25">
      <c r="A46" s="5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90" zoomScaleNormal="90" workbookViewId="0">
      <selection activeCell="B20" sqref="B2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67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68</v>
      </c>
      <c r="B5" s="27">
        <v>4005</v>
      </c>
      <c r="C5" s="27">
        <v>267</v>
      </c>
      <c r="D5" s="27">
        <f>LECHO_D!$B5/LECHO_D!$C5</f>
        <v>15</v>
      </c>
      <c r="E5" s="28">
        <v>1</v>
      </c>
      <c r="G5" s="72" t="s">
        <v>127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42" t="s">
        <v>33</v>
      </c>
      <c r="B8" s="43" t="s">
        <v>68</v>
      </c>
      <c r="C8" s="41" t="s">
        <v>3</v>
      </c>
      <c r="D8" s="43">
        <v>3885</v>
      </c>
      <c r="E8" s="43">
        <v>95</v>
      </c>
      <c r="F8" s="43">
        <v>3805</v>
      </c>
      <c r="G8" s="44">
        <v>95</v>
      </c>
    </row>
    <row r="9" spans="1:7" x14ac:dyDescent="0.25">
      <c r="A9" s="45"/>
      <c r="B9" s="46"/>
      <c r="C9" s="47" t="s">
        <v>9</v>
      </c>
      <c r="D9" s="46">
        <v>4285</v>
      </c>
      <c r="E9" s="46"/>
      <c r="F9" s="46"/>
      <c r="G9" s="48"/>
    </row>
    <row r="10" spans="1:7" x14ac:dyDescent="0.25">
      <c r="A10" s="45" t="s">
        <v>37</v>
      </c>
      <c r="B10" s="46" t="s">
        <v>51</v>
      </c>
      <c r="C10" s="47" t="s">
        <v>9</v>
      </c>
      <c r="D10" s="46">
        <v>240</v>
      </c>
      <c r="E10" s="46"/>
      <c r="F10" s="46">
        <v>384</v>
      </c>
      <c r="G10" s="48"/>
    </row>
    <row r="11" spans="1:7" x14ac:dyDescent="0.25">
      <c r="A11" s="42"/>
      <c r="B11" s="43"/>
      <c r="C11" s="41" t="s">
        <v>7</v>
      </c>
      <c r="D11" s="43">
        <v>144</v>
      </c>
      <c r="E11" s="43">
        <v>5</v>
      </c>
      <c r="F11" s="43">
        <v>240</v>
      </c>
      <c r="G11" s="44">
        <v>5</v>
      </c>
    </row>
    <row r="12" spans="1:7" x14ac:dyDescent="0.25">
      <c r="A12" s="45"/>
      <c r="B12" s="46" t="s">
        <v>49</v>
      </c>
      <c r="C12" s="47" t="s">
        <v>7</v>
      </c>
      <c r="D12" s="46">
        <v>1200</v>
      </c>
      <c r="E12" s="46">
        <v>15</v>
      </c>
      <c r="F12" s="46">
        <v>1200</v>
      </c>
      <c r="G12" s="48">
        <v>20</v>
      </c>
    </row>
    <row r="13" spans="1:7" x14ac:dyDescent="0.25">
      <c r="A13" s="42"/>
      <c r="B13" s="43"/>
      <c r="C13" s="41" t="s">
        <v>7</v>
      </c>
      <c r="D13" s="43">
        <v>800</v>
      </c>
      <c r="E13" s="43">
        <v>30</v>
      </c>
      <c r="F13" s="43">
        <v>800</v>
      </c>
      <c r="G13" s="44">
        <v>35</v>
      </c>
    </row>
    <row r="14" spans="1:7" x14ac:dyDescent="0.25">
      <c r="A14" s="45"/>
      <c r="B14" s="46"/>
      <c r="C14" s="47" t="s">
        <v>7</v>
      </c>
      <c r="D14" s="46">
        <v>400</v>
      </c>
      <c r="E14" s="46">
        <v>40</v>
      </c>
      <c r="F14" s="46">
        <v>400</v>
      </c>
      <c r="G14" s="48">
        <v>55</v>
      </c>
    </row>
    <row r="15" spans="1:7" x14ac:dyDescent="0.25">
      <c r="A15" s="42"/>
      <c r="B15" s="43" t="s">
        <v>48</v>
      </c>
      <c r="C15" s="41" t="s">
        <v>7</v>
      </c>
      <c r="D15" s="43">
        <v>400</v>
      </c>
      <c r="E15" s="43">
        <v>10</v>
      </c>
      <c r="F15" s="43"/>
      <c r="G15" s="44"/>
    </row>
    <row r="16" spans="1:7" x14ac:dyDescent="0.25">
      <c r="A16" s="45"/>
      <c r="B16" s="46" t="s">
        <v>39</v>
      </c>
      <c r="C16" s="47" t="s">
        <v>7</v>
      </c>
      <c r="D16" s="46">
        <v>1600</v>
      </c>
      <c r="E16" s="46">
        <v>5</v>
      </c>
      <c r="F16" s="46"/>
      <c r="G16" s="48"/>
    </row>
    <row r="17" spans="1:7" x14ac:dyDescent="0.25">
      <c r="A17" s="42"/>
      <c r="B17" s="43"/>
      <c r="C17" s="41" t="s">
        <v>7</v>
      </c>
      <c r="D17" s="43">
        <v>800</v>
      </c>
      <c r="E17" s="43">
        <v>30</v>
      </c>
      <c r="F17" s="43"/>
      <c r="G17" s="44"/>
    </row>
    <row r="18" spans="1:7" x14ac:dyDescent="0.25">
      <c r="A18" s="45"/>
      <c r="B18" s="46"/>
      <c r="C18" s="47" t="s">
        <v>8</v>
      </c>
      <c r="D18" s="46">
        <v>320</v>
      </c>
      <c r="E18" s="46"/>
      <c r="F18" s="46">
        <v>400</v>
      </c>
      <c r="G18" s="48"/>
    </row>
    <row r="19" spans="1:7" x14ac:dyDescent="0.25">
      <c r="A19" s="42"/>
      <c r="B19" s="43" t="s">
        <v>44</v>
      </c>
      <c r="C19" s="41" t="s">
        <v>7</v>
      </c>
      <c r="D19" s="43">
        <v>1500</v>
      </c>
      <c r="E19" s="43">
        <v>3</v>
      </c>
      <c r="F19" s="43"/>
      <c r="G19" s="44"/>
    </row>
    <row r="20" spans="1:7" x14ac:dyDescent="0.25">
      <c r="A20" s="45"/>
      <c r="B20" s="46"/>
      <c r="C20" s="47" t="s">
        <v>8</v>
      </c>
      <c r="D20" s="46">
        <v>500</v>
      </c>
      <c r="E20" s="46"/>
      <c r="F20" s="46"/>
      <c r="G20" s="48"/>
    </row>
    <row r="21" spans="1:7" x14ac:dyDescent="0.25">
      <c r="A21" s="42"/>
      <c r="B21" s="43" t="s">
        <v>40</v>
      </c>
      <c r="C21" s="47" t="s">
        <v>9</v>
      </c>
      <c r="D21" s="43">
        <v>4285</v>
      </c>
      <c r="E21" s="43"/>
      <c r="F21" s="43"/>
      <c r="G21" s="44"/>
    </row>
    <row r="22" spans="1:7" x14ac:dyDescent="0.25">
      <c r="A22" s="45"/>
      <c r="B22" s="46"/>
      <c r="C22" s="47"/>
      <c r="D22" s="46"/>
      <c r="E22" s="46"/>
      <c r="F22" s="46"/>
      <c r="G22" s="48"/>
    </row>
    <row r="23" spans="1:7" x14ac:dyDescent="0.25">
      <c r="A23" s="42"/>
      <c r="B23" s="43"/>
      <c r="C23" s="41"/>
      <c r="D23" s="43"/>
      <c r="E23" s="43"/>
      <c r="F23" s="43"/>
      <c r="G23" s="44"/>
    </row>
    <row r="24" spans="1:7" x14ac:dyDescent="0.25">
      <c r="A24" s="45"/>
      <c r="B24" s="46"/>
      <c r="C24" s="47"/>
      <c r="D24" s="46"/>
      <c r="E24" s="46"/>
      <c r="F24" s="46"/>
      <c r="G24" s="48"/>
    </row>
    <row r="25" spans="1:7" x14ac:dyDescent="0.25">
      <c r="A25" s="42"/>
      <c r="B25" s="43"/>
      <c r="C25" s="41"/>
      <c r="D25" s="43"/>
      <c r="E25" s="43"/>
      <c r="F25" s="43"/>
      <c r="G25" s="44"/>
    </row>
    <row r="26" spans="1:7" x14ac:dyDescent="0.25">
      <c r="A26" s="45"/>
      <c r="B26" s="46"/>
      <c r="C26" s="47"/>
      <c r="D26" s="46"/>
      <c r="E26" s="46"/>
      <c r="F26" s="46"/>
      <c r="G26" s="48"/>
    </row>
    <row r="27" spans="1:7" x14ac:dyDescent="0.25">
      <c r="A27" s="42"/>
      <c r="B27" s="43"/>
      <c r="C27" s="41"/>
      <c r="D27" s="43"/>
      <c r="E27" s="43"/>
      <c r="F27" s="43"/>
      <c r="G27" s="44"/>
    </row>
    <row r="28" spans="1:7" x14ac:dyDescent="0.25">
      <c r="A28" s="45"/>
      <c r="B28" s="46"/>
      <c r="C28" s="47"/>
      <c r="D28" s="46"/>
      <c r="E28" s="46"/>
      <c r="F28" s="46"/>
      <c r="G28" s="48"/>
    </row>
    <row r="29" spans="1:7" x14ac:dyDescent="0.25">
      <c r="A29" s="42"/>
      <c r="B29" s="43"/>
      <c r="C29" s="41"/>
      <c r="D29" s="43"/>
      <c r="E29" s="43"/>
      <c r="F29" s="43"/>
      <c r="G29" s="44"/>
    </row>
    <row r="30" spans="1:7" x14ac:dyDescent="0.25">
      <c r="A30" s="45"/>
      <c r="B30" s="46"/>
      <c r="C30" s="47"/>
      <c r="D30" s="46"/>
      <c r="E30" s="46"/>
      <c r="F30" s="46"/>
      <c r="G30" s="48"/>
    </row>
    <row r="31" spans="1:7" x14ac:dyDescent="0.25">
      <c r="A31" s="42"/>
      <c r="B31" s="43"/>
      <c r="C31" s="41"/>
      <c r="D31" s="43"/>
      <c r="E31" s="43"/>
      <c r="F31" s="43"/>
      <c r="G31" s="44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5"/>
      <c r="B40" s="6"/>
      <c r="C40" s="7"/>
      <c r="D40" s="6"/>
      <c r="E40" s="6"/>
      <c r="F40" s="6"/>
      <c r="G40" s="8"/>
    </row>
    <row r="46" spans="1:7" x14ac:dyDescent="0.25">
      <c r="A46" s="5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4" zoomScaleNormal="100" workbookViewId="0">
      <selection activeCell="C27" sqref="C27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69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66</v>
      </c>
      <c r="B5" s="27">
        <v>4005</v>
      </c>
      <c r="C5" s="27">
        <v>267</v>
      </c>
      <c r="D5" s="27">
        <f>B5/C5</f>
        <v>15</v>
      </c>
      <c r="E5" s="28">
        <v>1</v>
      </c>
      <c r="G5" s="72" t="s">
        <v>123</v>
      </c>
    </row>
    <row r="6" spans="1:7" x14ac:dyDescent="0.25">
      <c r="A6" s="9" t="s">
        <v>53</v>
      </c>
      <c r="B6" s="10">
        <v>4005</v>
      </c>
      <c r="C6" s="10">
        <v>267</v>
      </c>
      <c r="D6" s="57">
        <f>B6/C6</f>
        <v>15</v>
      </c>
      <c r="E6" s="11">
        <v>1</v>
      </c>
    </row>
    <row r="7" spans="1:7" x14ac:dyDescent="0.25">
      <c r="A7" s="26"/>
      <c r="B7" s="27"/>
      <c r="C7" s="27"/>
      <c r="D7" s="27"/>
      <c r="E7" s="28"/>
    </row>
    <row r="9" spans="1:7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7" x14ac:dyDescent="0.25">
      <c r="A10" s="42" t="s">
        <v>33</v>
      </c>
      <c r="B10" s="43" t="s">
        <v>66</v>
      </c>
      <c r="C10" s="41" t="s">
        <v>3</v>
      </c>
      <c r="D10" s="43">
        <v>3885</v>
      </c>
      <c r="E10" s="43">
        <v>95</v>
      </c>
      <c r="F10" s="43">
        <v>3805</v>
      </c>
      <c r="G10" s="44">
        <v>95</v>
      </c>
    </row>
    <row r="11" spans="1:7" x14ac:dyDescent="0.25">
      <c r="A11" s="45"/>
      <c r="B11" s="46"/>
      <c r="C11" s="47" t="s">
        <v>9</v>
      </c>
      <c r="D11" s="46">
        <v>4285</v>
      </c>
      <c r="E11" s="46"/>
      <c r="F11" s="46"/>
      <c r="G11" s="48"/>
    </row>
    <row r="12" spans="1:7" x14ac:dyDescent="0.25">
      <c r="A12" s="42"/>
      <c r="B12" s="43" t="s">
        <v>53</v>
      </c>
      <c r="C12" s="41" t="s">
        <v>3</v>
      </c>
      <c r="D12" s="43">
        <v>3805</v>
      </c>
      <c r="E12" s="43">
        <v>95</v>
      </c>
      <c r="F12" s="43"/>
      <c r="G12" s="44"/>
    </row>
    <row r="13" spans="1:7" x14ac:dyDescent="0.25">
      <c r="A13" s="45"/>
      <c r="B13" s="46"/>
      <c r="C13" s="47" t="s">
        <v>9</v>
      </c>
      <c r="D13" s="46">
        <v>4285</v>
      </c>
      <c r="E13" s="46"/>
      <c r="F13" s="46"/>
      <c r="G13" s="48"/>
    </row>
    <row r="14" spans="1:7" x14ac:dyDescent="0.25">
      <c r="A14" s="42" t="s">
        <v>37</v>
      </c>
      <c r="B14" s="43" t="s">
        <v>47</v>
      </c>
      <c r="C14" s="41" t="s">
        <v>7</v>
      </c>
      <c r="D14" s="43">
        <v>300</v>
      </c>
      <c r="E14" s="43">
        <v>10</v>
      </c>
      <c r="F14" s="43">
        <v>500</v>
      </c>
      <c r="G14" s="44">
        <v>10</v>
      </c>
    </row>
    <row r="15" spans="1:7" x14ac:dyDescent="0.25">
      <c r="A15" s="45"/>
      <c r="B15" s="46" t="s">
        <v>48</v>
      </c>
      <c r="C15" s="47" t="s">
        <v>7</v>
      </c>
      <c r="D15" s="46">
        <v>1800</v>
      </c>
      <c r="E15" s="46">
        <v>35</v>
      </c>
      <c r="F15" s="46">
        <v>1800</v>
      </c>
      <c r="G15" s="48">
        <v>40</v>
      </c>
    </row>
    <row r="16" spans="1:7" x14ac:dyDescent="0.25">
      <c r="A16" s="42"/>
      <c r="B16" s="43" t="s">
        <v>49</v>
      </c>
      <c r="C16" s="47" t="s">
        <v>7</v>
      </c>
      <c r="D16" s="46">
        <v>480</v>
      </c>
      <c r="E16" s="46">
        <v>10</v>
      </c>
      <c r="F16" s="46">
        <v>480</v>
      </c>
      <c r="G16" s="48">
        <v>15</v>
      </c>
    </row>
    <row r="17" spans="1:7" x14ac:dyDescent="0.25">
      <c r="A17" s="42"/>
      <c r="B17" s="43" t="s">
        <v>39</v>
      </c>
      <c r="C17" s="41" t="s">
        <v>7</v>
      </c>
      <c r="D17" s="43">
        <v>2250</v>
      </c>
      <c r="E17" s="43">
        <v>2</v>
      </c>
      <c r="F17" s="43"/>
      <c r="G17" s="44"/>
    </row>
    <row r="18" spans="1:7" x14ac:dyDescent="0.25">
      <c r="A18" s="45"/>
      <c r="B18" s="46"/>
      <c r="C18" s="47" t="s">
        <v>8</v>
      </c>
      <c r="D18" s="46">
        <v>300</v>
      </c>
      <c r="E18" s="46"/>
      <c r="F18" s="46">
        <v>500</v>
      </c>
      <c r="G18" s="48"/>
    </row>
    <row r="19" spans="1:7" x14ac:dyDescent="0.25">
      <c r="A19" s="45"/>
      <c r="B19" s="43" t="s">
        <v>54</v>
      </c>
      <c r="C19" s="41" t="s">
        <v>9</v>
      </c>
      <c r="D19" s="43">
        <v>2003</v>
      </c>
      <c r="E19" s="43"/>
      <c r="F19" s="43"/>
      <c r="G19" s="44"/>
    </row>
    <row r="20" spans="1:7" x14ac:dyDescent="0.25">
      <c r="A20" s="42"/>
      <c r="B20" s="43" t="s">
        <v>55</v>
      </c>
      <c r="C20" s="41" t="s">
        <v>9</v>
      </c>
      <c r="D20" s="43">
        <v>4000</v>
      </c>
      <c r="E20" s="43"/>
      <c r="F20" s="43"/>
      <c r="G20" s="44"/>
    </row>
    <row r="21" spans="1:7" x14ac:dyDescent="0.25">
      <c r="A21" s="42"/>
      <c r="B21" s="46" t="s">
        <v>56</v>
      </c>
      <c r="C21" s="47" t="s">
        <v>7</v>
      </c>
      <c r="D21" s="46">
        <v>3750</v>
      </c>
      <c r="E21" s="46">
        <v>50</v>
      </c>
      <c r="F21" s="46"/>
      <c r="G21" s="48"/>
    </row>
    <row r="22" spans="1:7" x14ac:dyDescent="0.25">
      <c r="A22" s="45"/>
      <c r="B22" s="43" t="s">
        <v>57</v>
      </c>
      <c r="C22" s="47" t="s">
        <v>7</v>
      </c>
      <c r="D22" s="43">
        <v>4005</v>
      </c>
      <c r="E22" s="43">
        <v>2</v>
      </c>
      <c r="F22" s="43">
        <v>4005</v>
      </c>
      <c r="G22" s="44">
        <v>5</v>
      </c>
    </row>
    <row r="23" spans="1:7" x14ac:dyDescent="0.25">
      <c r="A23" s="42"/>
      <c r="B23" s="46"/>
      <c r="C23" s="47" t="s">
        <v>7</v>
      </c>
      <c r="D23" s="46">
        <v>3400</v>
      </c>
      <c r="E23" s="46">
        <v>50</v>
      </c>
      <c r="F23" s="46"/>
      <c r="G23" s="48"/>
    </row>
    <row r="24" spans="1:7" x14ac:dyDescent="0.25">
      <c r="A24" s="45"/>
      <c r="B24" s="43" t="s">
        <v>40</v>
      </c>
      <c r="C24" s="41" t="s">
        <v>9</v>
      </c>
      <c r="D24" s="46">
        <v>4285</v>
      </c>
      <c r="E24" s="43"/>
      <c r="F24" s="43"/>
      <c r="G24" s="43"/>
    </row>
    <row r="25" spans="1:7" x14ac:dyDescent="0.25">
      <c r="A25" s="42"/>
      <c r="B25" s="46"/>
      <c r="C25" s="47"/>
      <c r="D25" s="46"/>
      <c r="E25" s="46"/>
      <c r="F25" s="46"/>
      <c r="G25" s="48"/>
    </row>
    <row r="26" spans="1:7" x14ac:dyDescent="0.25">
      <c r="A26" s="45"/>
      <c r="B26" s="43"/>
      <c r="C26" s="41"/>
      <c r="D26" s="46"/>
      <c r="E26" s="46"/>
      <c r="F26" s="46"/>
      <c r="G26" s="48"/>
    </row>
    <row r="27" spans="1:7" x14ac:dyDescent="0.25">
      <c r="A27" s="42"/>
      <c r="B27" s="43"/>
      <c r="C27" s="41"/>
      <c r="D27" s="43"/>
      <c r="E27" s="43"/>
      <c r="F27" s="43"/>
      <c r="G27" s="44"/>
    </row>
    <row r="28" spans="1:7" x14ac:dyDescent="0.25">
      <c r="A28" s="45"/>
      <c r="B28" s="46"/>
      <c r="C28" s="47"/>
      <c r="D28" s="46"/>
      <c r="E28" s="46"/>
      <c r="F28" s="46"/>
      <c r="G28" s="48"/>
    </row>
    <row r="29" spans="1:7" x14ac:dyDescent="0.25">
      <c r="A29" s="42"/>
      <c r="B29" s="43"/>
      <c r="C29" s="41"/>
      <c r="D29" s="43"/>
      <c r="E29" s="43"/>
      <c r="F29" s="43"/>
      <c r="G29" s="44"/>
    </row>
    <row r="30" spans="1:7" x14ac:dyDescent="0.25">
      <c r="A30" s="45"/>
      <c r="B30" s="46"/>
      <c r="C30" s="47"/>
      <c r="D30" s="46"/>
      <c r="E30" s="46"/>
      <c r="F30" s="46"/>
      <c r="G30" s="48"/>
    </row>
    <row r="31" spans="1:7" x14ac:dyDescent="0.25">
      <c r="A31" s="42"/>
      <c r="B31" s="43"/>
      <c r="C31" s="41"/>
      <c r="D31" s="43"/>
      <c r="E31" s="43"/>
      <c r="F31" s="43"/>
      <c r="G31" s="44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5"/>
      <c r="B44" s="6"/>
      <c r="C44" s="7"/>
      <c r="D44" s="6"/>
      <c r="E44" s="6"/>
      <c r="F44" s="6"/>
      <c r="G44" s="8"/>
    </row>
    <row r="46" spans="1:7" x14ac:dyDescent="0.25">
      <c r="A46" s="42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7" zoomScale="90" zoomScaleNormal="90" workbookViewId="0">
      <selection activeCell="G5" sqref="G5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70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68</v>
      </c>
      <c r="B5" s="27">
        <v>4005</v>
      </c>
      <c r="C5" s="27">
        <v>267</v>
      </c>
      <c r="D5" s="27">
        <f>B5/C5</f>
        <v>15</v>
      </c>
      <c r="E5" s="28">
        <v>1</v>
      </c>
      <c r="G5" s="72" t="s">
        <v>123</v>
      </c>
    </row>
    <row r="6" spans="1:7" x14ac:dyDescent="0.25">
      <c r="A6" s="9" t="s">
        <v>53</v>
      </c>
      <c r="B6" s="10">
        <v>4005</v>
      </c>
      <c r="C6" s="10">
        <v>267</v>
      </c>
      <c r="D6" s="57">
        <f>B6/C6</f>
        <v>15</v>
      </c>
      <c r="E6" s="11">
        <v>1</v>
      </c>
    </row>
    <row r="7" spans="1:7" x14ac:dyDescent="0.25">
      <c r="A7" s="26"/>
      <c r="B7" s="27"/>
      <c r="C7" s="27"/>
      <c r="D7" s="27"/>
      <c r="E7" s="28"/>
    </row>
    <row r="9" spans="1:7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7" x14ac:dyDescent="0.25">
      <c r="A10" s="42" t="s">
        <v>33</v>
      </c>
      <c r="B10" s="43" t="s">
        <v>68</v>
      </c>
      <c r="C10" s="41" t="s">
        <v>3</v>
      </c>
      <c r="D10" s="43">
        <v>3885</v>
      </c>
      <c r="E10" s="43">
        <v>95</v>
      </c>
      <c r="F10" s="43">
        <v>3805</v>
      </c>
      <c r="G10" s="44">
        <v>95</v>
      </c>
    </row>
    <row r="11" spans="1:7" x14ac:dyDescent="0.25">
      <c r="A11" s="45"/>
      <c r="B11" s="46"/>
      <c r="C11" s="47" t="s">
        <v>9</v>
      </c>
      <c r="D11" s="46">
        <v>4285</v>
      </c>
      <c r="E11" s="46"/>
      <c r="F11" s="46"/>
      <c r="G11" s="48"/>
    </row>
    <row r="12" spans="1:7" x14ac:dyDescent="0.25">
      <c r="A12" s="42"/>
      <c r="B12" s="43" t="s">
        <v>53</v>
      </c>
      <c r="C12" s="41" t="s">
        <v>3</v>
      </c>
      <c r="D12" s="43">
        <v>3805</v>
      </c>
      <c r="E12" s="43">
        <v>95</v>
      </c>
      <c r="F12" s="43"/>
      <c r="G12" s="44"/>
    </row>
    <row r="13" spans="1:7" x14ac:dyDescent="0.25">
      <c r="A13" s="45"/>
      <c r="B13" s="46"/>
      <c r="C13" s="47" t="s">
        <v>9</v>
      </c>
      <c r="D13" s="46">
        <v>4285</v>
      </c>
      <c r="E13" s="46"/>
      <c r="F13" s="46"/>
      <c r="G13" s="48"/>
    </row>
    <row r="14" spans="1:7" x14ac:dyDescent="0.25">
      <c r="A14" s="42" t="s">
        <v>37</v>
      </c>
      <c r="B14" s="43" t="s">
        <v>51</v>
      </c>
      <c r="C14" s="41" t="s">
        <v>7</v>
      </c>
      <c r="D14" s="43">
        <v>300</v>
      </c>
      <c r="E14" s="43">
        <v>10</v>
      </c>
      <c r="F14" s="43">
        <v>500</v>
      </c>
      <c r="G14" s="44">
        <v>10</v>
      </c>
    </row>
    <row r="15" spans="1:7" x14ac:dyDescent="0.25">
      <c r="A15" s="45"/>
      <c r="B15" s="46" t="s">
        <v>49</v>
      </c>
      <c r="C15" s="47" t="s">
        <v>7</v>
      </c>
      <c r="D15" s="46">
        <v>1800</v>
      </c>
      <c r="E15" s="46">
        <v>35</v>
      </c>
      <c r="F15" s="46">
        <v>1800</v>
      </c>
      <c r="G15" s="48">
        <v>40</v>
      </c>
    </row>
    <row r="16" spans="1:7" x14ac:dyDescent="0.25">
      <c r="A16" s="42"/>
      <c r="B16" s="43" t="s">
        <v>48</v>
      </c>
      <c r="C16" s="47" t="s">
        <v>7</v>
      </c>
      <c r="D16" s="46">
        <v>480</v>
      </c>
      <c r="E16" s="46">
        <v>10</v>
      </c>
      <c r="F16" s="46">
        <v>480</v>
      </c>
      <c r="G16" s="48">
        <v>15</v>
      </c>
    </row>
    <row r="17" spans="1:7" x14ac:dyDescent="0.25">
      <c r="A17" s="42"/>
      <c r="B17" s="43" t="s">
        <v>39</v>
      </c>
      <c r="C17" s="41" t="s">
        <v>7</v>
      </c>
      <c r="D17" s="43">
        <v>2250</v>
      </c>
      <c r="E17" s="43">
        <v>2</v>
      </c>
      <c r="F17" s="43"/>
      <c r="G17" s="44"/>
    </row>
    <row r="18" spans="1:7" x14ac:dyDescent="0.25">
      <c r="A18" s="45"/>
      <c r="B18" s="46"/>
      <c r="C18" s="47" t="s">
        <v>8</v>
      </c>
      <c r="D18" s="46">
        <v>300</v>
      </c>
      <c r="E18" s="46"/>
      <c r="F18" s="46">
        <v>500</v>
      </c>
      <c r="G18" s="48"/>
    </row>
    <row r="19" spans="1:7" x14ac:dyDescent="0.25">
      <c r="A19" s="45"/>
      <c r="B19" s="43" t="s">
        <v>54</v>
      </c>
      <c r="C19" s="41" t="s">
        <v>9</v>
      </c>
      <c r="D19" s="43">
        <v>2003</v>
      </c>
      <c r="E19" s="43"/>
      <c r="F19" s="43"/>
      <c r="G19" s="44"/>
    </row>
    <row r="20" spans="1:7" x14ac:dyDescent="0.25">
      <c r="A20" s="42"/>
      <c r="B20" s="43" t="s">
        <v>59</v>
      </c>
      <c r="C20" s="41" t="s">
        <v>9</v>
      </c>
      <c r="D20" s="43">
        <v>4000</v>
      </c>
      <c r="E20" s="43"/>
      <c r="F20" s="43"/>
      <c r="G20" s="44"/>
    </row>
    <row r="21" spans="1:7" x14ac:dyDescent="0.25">
      <c r="A21" s="42"/>
      <c r="B21" s="46" t="s">
        <v>56</v>
      </c>
      <c r="C21" s="47" t="s">
        <v>7</v>
      </c>
      <c r="D21" s="46">
        <v>3750</v>
      </c>
      <c r="E21" s="46">
        <v>50</v>
      </c>
      <c r="F21" s="46"/>
      <c r="G21" s="48"/>
    </row>
    <row r="22" spans="1:7" x14ac:dyDescent="0.25">
      <c r="A22" s="45"/>
      <c r="B22" s="43" t="s">
        <v>57</v>
      </c>
      <c r="C22" s="47" t="s">
        <v>7</v>
      </c>
      <c r="D22" s="43">
        <v>4005</v>
      </c>
      <c r="E22" s="43">
        <v>2</v>
      </c>
      <c r="F22" s="43">
        <v>4005</v>
      </c>
      <c r="G22" s="44">
        <v>5</v>
      </c>
    </row>
    <row r="23" spans="1:7" x14ac:dyDescent="0.25">
      <c r="A23" s="42"/>
      <c r="B23" s="46"/>
      <c r="C23" s="47" t="s">
        <v>7</v>
      </c>
      <c r="D23" s="46">
        <v>3400</v>
      </c>
      <c r="E23" s="46">
        <v>50</v>
      </c>
      <c r="F23" s="46"/>
      <c r="G23" s="48"/>
    </row>
    <row r="24" spans="1:7" x14ac:dyDescent="0.25">
      <c r="A24" s="45"/>
      <c r="B24" s="43" t="s">
        <v>44</v>
      </c>
      <c r="C24" s="41" t="s">
        <v>7</v>
      </c>
      <c r="D24" s="43">
        <v>1500</v>
      </c>
      <c r="E24" s="43">
        <v>3</v>
      </c>
      <c r="F24" s="43"/>
      <c r="G24" s="43"/>
    </row>
    <row r="25" spans="1:7" x14ac:dyDescent="0.25">
      <c r="A25" s="42"/>
      <c r="B25" s="46"/>
      <c r="C25" s="47" t="s">
        <v>8</v>
      </c>
      <c r="D25" s="46">
        <v>500</v>
      </c>
      <c r="E25" s="46"/>
      <c r="F25" s="46"/>
      <c r="G25" s="48"/>
    </row>
    <row r="26" spans="1:7" x14ac:dyDescent="0.25">
      <c r="A26" s="45"/>
      <c r="B26" s="46" t="s">
        <v>40</v>
      </c>
      <c r="C26" s="41" t="s">
        <v>9</v>
      </c>
      <c r="D26" s="46">
        <v>4285</v>
      </c>
      <c r="E26" s="46"/>
      <c r="F26" s="46"/>
      <c r="G26" s="48"/>
    </row>
    <row r="27" spans="1:7" x14ac:dyDescent="0.25">
      <c r="A27" s="42"/>
      <c r="B27" s="43"/>
      <c r="C27" s="41"/>
      <c r="D27" s="43"/>
      <c r="E27" s="43"/>
      <c r="F27" s="43"/>
      <c r="G27" s="44"/>
    </row>
    <row r="28" spans="1:7" x14ac:dyDescent="0.25">
      <c r="A28" s="45"/>
      <c r="B28" s="43"/>
      <c r="C28" s="41"/>
      <c r="D28" s="43"/>
      <c r="E28" s="43"/>
      <c r="F28" s="43"/>
      <c r="G28" s="44"/>
    </row>
    <row r="29" spans="1:7" x14ac:dyDescent="0.25">
      <c r="A29" s="42"/>
      <c r="B29" s="43"/>
      <c r="C29" s="41"/>
      <c r="D29" s="43"/>
      <c r="E29" s="43"/>
      <c r="F29" s="43"/>
      <c r="G29" s="44"/>
    </row>
    <row r="30" spans="1:7" x14ac:dyDescent="0.25">
      <c r="A30" s="45"/>
      <c r="B30" s="46"/>
      <c r="C30" s="47"/>
      <c r="D30" s="46"/>
      <c r="E30" s="46"/>
      <c r="F30" s="46"/>
      <c r="G30" s="48"/>
    </row>
    <row r="31" spans="1:7" x14ac:dyDescent="0.25">
      <c r="A31" s="42"/>
      <c r="B31" s="43"/>
      <c r="C31" s="41"/>
      <c r="D31" s="43"/>
      <c r="E31" s="43"/>
      <c r="F31" s="43"/>
      <c r="G31" s="44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42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4" zoomScale="90" zoomScaleNormal="90" workbookViewId="0">
      <selection activeCell="D34" sqref="D34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71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66</v>
      </c>
      <c r="B5" s="27">
        <v>4005</v>
      </c>
      <c r="C5" s="27">
        <v>267</v>
      </c>
      <c r="D5" s="27">
        <v>15</v>
      </c>
      <c r="E5" s="28">
        <v>1</v>
      </c>
      <c r="G5" s="72" t="s">
        <v>123</v>
      </c>
    </row>
    <row r="6" spans="1:7" x14ac:dyDescent="0.25">
      <c r="A6" s="9" t="s">
        <v>53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26" t="s">
        <v>63</v>
      </c>
      <c r="B7" s="27">
        <v>4005</v>
      </c>
      <c r="C7" s="27">
        <v>267</v>
      </c>
      <c r="D7" s="27">
        <v>15</v>
      </c>
      <c r="E7" s="28">
        <v>1</v>
      </c>
    </row>
    <row r="8" spans="1:7" x14ac:dyDescent="0.25">
      <c r="A8" s="53"/>
      <c r="B8" s="54"/>
      <c r="C8" s="54"/>
      <c r="D8" s="54"/>
      <c r="E8" s="55"/>
    </row>
    <row r="10" spans="1:7" x14ac:dyDescent="0.25">
      <c r="A10" s="29" t="s">
        <v>27</v>
      </c>
      <c r="B10" s="30" t="s">
        <v>20</v>
      </c>
      <c r="C10" s="30" t="s">
        <v>28</v>
      </c>
      <c r="D10" s="30" t="s">
        <v>29</v>
      </c>
      <c r="E10" s="30" t="s">
        <v>30</v>
      </c>
      <c r="F10" s="30" t="s">
        <v>31</v>
      </c>
      <c r="G10" s="31" t="s">
        <v>32</v>
      </c>
    </row>
    <row r="11" spans="1:7" x14ac:dyDescent="0.25">
      <c r="A11" s="49" t="s">
        <v>33</v>
      </c>
      <c r="B11" s="54" t="s">
        <v>66</v>
      </c>
      <c r="C11" s="41" t="s">
        <v>3</v>
      </c>
      <c r="D11" s="43">
        <v>3885</v>
      </c>
      <c r="E11" s="43">
        <v>95</v>
      </c>
      <c r="F11" s="43">
        <v>3805</v>
      </c>
      <c r="G11" s="44">
        <v>95</v>
      </c>
    </row>
    <row r="12" spans="1:7" x14ac:dyDescent="0.25">
      <c r="A12" s="45"/>
      <c r="B12" s="46"/>
      <c r="C12" s="47" t="s">
        <v>9</v>
      </c>
      <c r="D12" s="46">
        <v>4285</v>
      </c>
      <c r="E12" s="46"/>
      <c r="F12" s="46"/>
      <c r="G12" s="48"/>
    </row>
    <row r="13" spans="1:7" x14ac:dyDescent="0.25">
      <c r="A13" s="42"/>
      <c r="B13" s="43" t="s">
        <v>53</v>
      </c>
      <c r="C13" s="41" t="s">
        <v>3</v>
      </c>
      <c r="D13" s="43">
        <v>3805</v>
      </c>
      <c r="E13" s="43">
        <v>95</v>
      </c>
      <c r="F13" s="43"/>
      <c r="G13" s="44"/>
    </row>
    <row r="14" spans="1:7" x14ac:dyDescent="0.25">
      <c r="A14" s="45"/>
      <c r="B14" s="46"/>
      <c r="C14" s="47" t="s">
        <v>9</v>
      </c>
      <c r="D14" s="46">
        <v>4285</v>
      </c>
      <c r="E14" s="46"/>
      <c r="F14" s="46"/>
      <c r="G14" s="48"/>
    </row>
    <row r="15" spans="1:7" x14ac:dyDescent="0.25">
      <c r="A15" s="42"/>
      <c r="B15" s="43" t="s">
        <v>63</v>
      </c>
      <c r="C15" s="41" t="s">
        <v>3</v>
      </c>
      <c r="D15" s="43">
        <v>3805</v>
      </c>
      <c r="E15" s="43">
        <v>95</v>
      </c>
      <c r="F15" s="43"/>
      <c r="G15" s="44"/>
    </row>
    <row r="16" spans="1:7" x14ac:dyDescent="0.25">
      <c r="A16" s="45"/>
      <c r="B16" s="46"/>
      <c r="C16" s="47" t="s">
        <v>9</v>
      </c>
      <c r="D16" s="46">
        <v>4285</v>
      </c>
      <c r="E16" s="46"/>
      <c r="F16" s="46"/>
      <c r="G16" s="48"/>
    </row>
    <row r="17" spans="1:7" x14ac:dyDescent="0.25">
      <c r="A17" s="42" t="s">
        <v>37</v>
      </c>
      <c r="B17" s="43" t="s">
        <v>47</v>
      </c>
      <c r="C17" s="41" t="s">
        <v>7</v>
      </c>
      <c r="D17" s="43">
        <v>300</v>
      </c>
      <c r="E17" s="43">
        <v>10</v>
      </c>
      <c r="F17" s="43">
        <v>500</v>
      </c>
      <c r="G17" s="44">
        <v>10</v>
      </c>
    </row>
    <row r="18" spans="1:7" x14ac:dyDescent="0.25">
      <c r="A18" s="45"/>
      <c r="B18" s="46" t="s">
        <v>48</v>
      </c>
      <c r="C18" s="47" t="s">
        <v>7</v>
      </c>
      <c r="D18" s="46">
        <v>1800</v>
      </c>
      <c r="E18" s="46">
        <v>35</v>
      </c>
      <c r="F18" s="46">
        <v>1800</v>
      </c>
      <c r="G18" s="48">
        <v>40</v>
      </c>
    </row>
    <row r="19" spans="1:7" x14ac:dyDescent="0.25">
      <c r="A19" s="42"/>
      <c r="B19" s="43" t="s">
        <v>49</v>
      </c>
      <c r="C19" s="47" t="s">
        <v>7</v>
      </c>
      <c r="D19" s="46">
        <v>480</v>
      </c>
      <c r="E19" s="46">
        <v>10</v>
      </c>
      <c r="F19" s="46">
        <v>480</v>
      </c>
      <c r="G19" s="48">
        <v>15</v>
      </c>
    </row>
    <row r="20" spans="1:7" x14ac:dyDescent="0.25">
      <c r="A20" s="42"/>
      <c r="B20" s="43" t="s">
        <v>39</v>
      </c>
      <c r="C20" s="41" t="s">
        <v>7</v>
      </c>
      <c r="D20" s="43">
        <v>2250</v>
      </c>
      <c r="E20" s="43">
        <v>2</v>
      </c>
      <c r="F20" s="43"/>
      <c r="G20" s="44"/>
    </row>
    <row r="21" spans="1:7" x14ac:dyDescent="0.25">
      <c r="A21" s="45"/>
      <c r="B21" s="46"/>
      <c r="C21" s="47" t="s">
        <v>8</v>
      </c>
      <c r="D21" s="46">
        <v>300</v>
      </c>
      <c r="E21" s="46"/>
      <c r="F21" s="46">
        <v>500</v>
      </c>
      <c r="G21" s="48"/>
    </row>
    <row r="22" spans="1:7" x14ac:dyDescent="0.25">
      <c r="A22" s="45"/>
      <c r="B22" s="43" t="s">
        <v>54</v>
      </c>
      <c r="C22" s="41" t="s">
        <v>9</v>
      </c>
      <c r="D22" s="43">
        <v>2003</v>
      </c>
      <c r="E22" s="43"/>
      <c r="F22" s="43"/>
      <c r="G22" s="44"/>
    </row>
    <row r="23" spans="1:7" x14ac:dyDescent="0.25">
      <c r="A23" s="42"/>
      <c r="B23" s="43" t="s">
        <v>55</v>
      </c>
      <c r="C23" s="41" t="s">
        <v>9</v>
      </c>
      <c r="D23" s="43">
        <v>4000</v>
      </c>
      <c r="E23" s="43"/>
      <c r="F23" s="43"/>
      <c r="G23" s="44"/>
    </row>
    <row r="24" spans="1:7" x14ac:dyDescent="0.25">
      <c r="A24" s="42"/>
      <c r="B24" s="43" t="s">
        <v>57</v>
      </c>
      <c r="C24" s="47" t="s">
        <v>7</v>
      </c>
      <c r="D24" s="43">
        <v>4005</v>
      </c>
      <c r="E24" s="43">
        <v>2</v>
      </c>
      <c r="F24" s="43">
        <v>4005</v>
      </c>
      <c r="G24" s="44">
        <v>5</v>
      </c>
    </row>
    <row r="25" spans="1:7" x14ac:dyDescent="0.25">
      <c r="A25" s="45"/>
      <c r="B25" s="46"/>
      <c r="C25" s="47" t="s">
        <v>7</v>
      </c>
      <c r="D25" s="46">
        <v>3400</v>
      </c>
      <c r="E25" s="46">
        <v>50</v>
      </c>
      <c r="F25" s="46"/>
      <c r="G25" s="48"/>
    </row>
    <row r="26" spans="1:7" x14ac:dyDescent="0.25">
      <c r="A26" s="42"/>
      <c r="B26" s="43" t="s">
        <v>40</v>
      </c>
      <c r="C26" s="41" t="s">
        <v>9</v>
      </c>
      <c r="D26" s="46">
        <v>4285</v>
      </c>
      <c r="E26" s="43"/>
      <c r="F26" s="43"/>
      <c r="G26" s="52"/>
    </row>
    <row r="27" spans="1:7" x14ac:dyDescent="0.25">
      <c r="A27" s="45"/>
      <c r="B27" s="43"/>
      <c r="C27" s="41"/>
      <c r="D27" s="46"/>
      <c r="E27" s="43"/>
      <c r="F27" s="43"/>
      <c r="G27" s="52"/>
    </row>
    <row r="28" spans="1:7" x14ac:dyDescent="0.25">
      <c r="A28" s="42"/>
      <c r="B28" s="46"/>
      <c r="C28" s="47"/>
      <c r="D28" s="46"/>
      <c r="E28" s="46"/>
      <c r="F28" s="46"/>
      <c r="G28" s="48"/>
    </row>
    <row r="29" spans="1:7" x14ac:dyDescent="0.25">
      <c r="A29" s="45"/>
      <c r="B29" s="43"/>
      <c r="C29" s="41"/>
      <c r="D29" s="46"/>
      <c r="E29" s="46"/>
      <c r="F29" s="46"/>
      <c r="G29" s="48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2"/>
      <c r="B31" s="43"/>
      <c r="C31" s="41"/>
      <c r="D31" s="43"/>
      <c r="E31" s="43"/>
      <c r="F31" s="43"/>
      <c r="G31" s="44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6" spans="1:7" x14ac:dyDescent="0.25">
      <c r="A46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4" zoomScale="90" zoomScaleNormal="90" workbookViewId="0">
      <selection activeCell="G5" sqref="G5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72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68</v>
      </c>
      <c r="B5" s="27">
        <v>4005</v>
      </c>
      <c r="C5" s="27">
        <v>267</v>
      </c>
      <c r="D5" s="27">
        <v>15</v>
      </c>
      <c r="E5" s="28">
        <v>1</v>
      </c>
      <c r="G5" s="72" t="s">
        <v>123</v>
      </c>
    </row>
    <row r="6" spans="1:7" x14ac:dyDescent="0.25">
      <c r="A6" s="9" t="s">
        <v>53</v>
      </c>
      <c r="B6" s="10">
        <v>4005</v>
      </c>
      <c r="C6" s="10">
        <v>267</v>
      </c>
      <c r="D6" s="10">
        <v>15</v>
      </c>
      <c r="E6" s="11">
        <v>1</v>
      </c>
    </row>
    <row r="7" spans="1:7" x14ac:dyDescent="0.25">
      <c r="A7" s="26" t="s">
        <v>63</v>
      </c>
      <c r="B7" s="27">
        <v>4005</v>
      </c>
      <c r="C7" s="27">
        <v>267</v>
      </c>
      <c r="D7" s="27">
        <v>15</v>
      </c>
      <c r="E7" s="28">
        <v>1</v>
      </c>
    </row>
    <row r="8" spans="1:7" x14ac:dyDescent="0.25">
      <c r="A8" s="53"/>
      <c r="B8" s="54"/>
      <c r="C8" s="54"/>
      <c r="D8" s="54"/>
      <c r="E8" s="55"/>
    </row>
    <row r="10" spans="1:7" x14ac:dyDescent="0.25">
      <c r="A10" s="29" t="s">
        <v>27</v>
      </c>
      <c r="B10" s="30" t="s">
        <v>20</v>
      </c>
      <c r="C10" s="30" t="s">
        <v>28</v>
      </c>
      <c r="D10" s="30" t="s">
        <v>29</v>
      </c>
      <c r="E10" s="30" t="s">
        <v>30</v>
      </c>
      <c r="F10" s="30" t="s">
        <v>31</v>
      </c>
      <c r="G10" s="31" t="s">
        <v>32</v>
      </c>
    </row>
    <row r="11" spans="1:7" x14ac:dyDescent="0.25">
      <c r="A11" s="42" t="s">
        <v>33</v>
      </c>
      <c r="B11" s="43" t="s">
        <v>68</v>
      </c>
      <c r="C11" s="41" t="s">
        <v>3</v>
      </c>
      <c r="D11" s="43">
        <v>3885</v>
      </c>
      <c r="E11" s="43">
        <v>95</v>
      </c>
      <c r="F11" s="43">
        <v>3805</v>
      </c>
      <c r="G11" s="44">
        <v>95</v>
      </c>
    </row>
    <row r="12" spans="1:7" x14ac:dyDescent="0.25">
      <c r="A12" s="45"/>
      <c r="B12" s="46"/>
      <c r="C12" s="47" t="s">
        <v>9</v>
      </c>
      <c r="D12" s="46">
        <v>4285</v>
      </c>
      <c r="E12" s="46"/>
      <c r="F12" s="46"/>
      <c r="G12" s="48"/>
    </row>
    <row r="13" spans="1:7" x14ac:dyDescent="0.25">
      <c r="A13" s="42"/>
      <c r="B13" s="43" t="s">
        <v>53</v>
      </c>
      <c r="C13" s="41" t="s">
        <v>3</v>
      </c>
      <c r="D13" s="43">
        <v>3805</v>
      </c>
      <c r="E13" s="43">
        <v>95</v>
      </c>
      <c r="F13" s="43"/>
      <c r="G13" s="44"/>
    </row>
    <row r="14" spans="1:7" x14ac:dyDescent="0.25">
      <c r="A14" s="45"/>
      <c r="B14" s="46"/>
      <c r="C14" s="47" t="s">
        <v>9</v>
      </c>
      <c r="D14" s="46">
        <v>4285</v>
      </c>
      <c r="E14" s="46"/>
      <c r="F14" s="46"/>
      <c r="G14" s="48"/>
    </row>
    <row r="15" spans="1:7" x14ac:dyDescent="0.25">
      <c r="A15" s="42"/>
      <c r="B15" s="43" t="s">
        <v>63</v>
      </c>
      <c r="C15" s="41" t="s">
        <v>3</v>
      </c>
      <c r="D15" s="43">
        <v>3805</v>
      </c>
      <c r="E15" s="43">
        <v>95</v>
      </c>
      <c r="F15" s="43"/>
      <c r="G15" s="44"/>
    </row>
    <row r="16" spans="1:7" x14ac:dyDescent="0.25">
      <c r="A16" s="45"/>
      <c r="B16" s="46"/>
      <c r="C16" s="47" t="s">
        <v>9</v>
      </c>
      <c r="D16" s="46">
        <v>4285</v>
      </c>
      <c r="E16" s="46"/>
      <c r="F16" s="46"/>
      <c r="G16" s="48"/>
    </row>
    <row r="17" spans="1:7" x14ac:dyDescent="0.25">
      <c r="A17" s="42" t="s">
        <v>37</v>
      </c>
      <c r="B17" s="43" t="s">
        <v>51</v>
      </c>
      <c r="C17" s="41" t="s">
        <v>7</v>
      </c>
      <c r="D17" s="43">
        <v>300</v>
      </c>
      <c r="E17" s="43">
        <v>10</v>
      </c>
      <c r="F17" s="43">
        <v>500</v>
      </c>
      <c r="G17" s="44">
        <v>10</v>
      </c>
    </row>
    <row r="18" spans="1:7" x14ac:dyDescent="0.25">
      <c r="A18" s="45"/>
      <c r="B18" s="46" t="s">
        <v>49</v>
      </c>
      <c r="C18" s="47" t="s">
        <v>7</v>
      </c>
      <c r="D18" s="46">
        <v>1800</v>
      </c>
      <c r="E18" s="46">
        <v>35</v>
      </c>
      <c r="F18" s="46">
        <v>1800</v>
      </c>
      <c r="G18" s="48">
        <v>40</v>
      </c>
    </row>
    <row r="19" spans="1:7" x14ac:dyDescent="0.25">
      <c r="A19" s="42"/>
      <c r="B19" s="43" t="s">
        <v>48</v>
      </c>
      <c r="C19" s="47" t="s">
        <v>7</v>
      </c>
      <c r="D19" s="46">
        <v>480</v>
      </c>
      <c r="E19" s="46">
        <v>10</v>
      </c>
      <c r="F19" s="46">
        <v>480</v>
      </c>
      <c r="G19" s="48">
        <v>15</v>
      </c>
    </row>
    <row r="20" spans="1:7" x14ac:dyDescent="0.25">
      <c r="A20" s="42"/>
      <c r="B20" s="43" t="s">
        <v>39</v>
      </c>
      <c r="C20" s="41" t="s">
        <v>7</v>
      </c>
      <c r="D20" s="43">
        <v>2250</v>
      </c>
      <c r="E20" s="43">
        <v>2</v>
      </c>
      <c r="F20" s="43"/>
      <c r="G20" s="44"/>
    </row>
    <row r="21" spans="1:7" x14ac:dyDescent="0.25">
      <c r="A21" s="45"/>
      <c r="B21" s="46"/>
      <c r="C21" s="47" t="s">
        <v>8</v>
      </c>
      <c r="D21" s="46">
        <v>300</v>
      </c>
      <c r="E21" s="46"/>
      <c r="F21" s="46">
        <v>500</v>
      </c>
      <c r="G21" s="48"/>
    </row>
    <row r="22" spans="1:7" x14ac:dyDescent="0.25">
      <c r="A22" s="45"/>
      <c r="B22" s="43" t="s">
        <v>54</v>
      </c>
      <c r="C22" s="41" t="s">
        <v>9</v>
      </c>
      <c r="D22" s="43">
        <v>2003</v>
      </c>
      <c r="E22" s="43"/>
      <c r="F22" s="43"/>
      <c r="G22" s="44"/>
    </row>
    <row r="23" spans="1:7" x14ac:dyDescent="0.25">
      <c r="A23" s="42"/>
      <c r="B23" s="43" t="s">
        <v>59</v>
      </c>
      <c r="C23" s="41" t="s">
        <v>9</v>
      </c>
      <c r="D23" s="43">
        <v>4000</v>
      </c>
      <c r="E23" s="43"/>
      <c r="F23" s="43"/>
      <c r="G23" s="44"/>
    </row>
    <row r="24" spans="1:7" x14ac:dyDescent="0.25">
      <c r="A24" s="42"/>
      <c r="B24" s="46" t="s">
        <v>56</v>
      </c>
      <c r="C24" s="47" t="s">
        <v>7</v>
      </c>
      <c r="D24" s="46">
        <v>3750</v>
      </c>
      <c r="E24" s="46">
        <v>50</v>
      </c>
      <c r="F24" s="46"/>
      <c r="G24" s="48"/>
    </row>
    <row r="25" spans="1:7" x14ac:dyDescent="0.25">
      <c r="A25" s="45"/>
      <c r="B25" s="43" t="s">
        <v>57</v>
      </c>
      <c r="C25" s="47" t="s">
        <v>7</v>
      </c>
      <c r="D25" s="43">
        <v>4005</v>
      </c>
      <c r="E25" s="43">
        <v>2</v>
      </c>
      <c r="F25" s="43">
        <v>4005</v>
      </c>
      <c r="G25" s="44">
        <v>5</v>
      </c>
    </row>
    <row r="26" spans="1:7" x14ac:dyDescent="0.25">
      <c r="A26" s="42"/>
      <c r="B26" s="46"/>
      <c r="C26" s="47" t="s">
        <v>7</v>
      </c>
      <c r="D26" s="46">
        <v>3400</v>
      </c>
      <c r="E26" s="46">
        <v>50</v>
      </c>
      <c r="F26" s="46"/>
      <c r="G26" s="48"/>
    </row>
    <row r="27" spans="1:7" x14ac:dyDescent="0.25">
      <c r="A27" s="45"/>
      <c r="B27" s="43" t="s">
        <v>44</v>
      </c>
      <c r="C27" s="41" t="s">
        <v>7</v>
      </c>
      <c r="D27" s="43">
        <v>1500</v>
      </c>
      <c r="E27" s="43">
        <v>3</v>
      </c>
      <c r="F27" s="43"/>
      <c r="G27" s="52"/>
    </row>
    <row r="28" spans="1:7" x14ac:dyDescent="0.25">
      <c r="A28" s="42"/>
      <c r="B28" s="46"/>
      <c r="C28" s="47" t="s">
        <v>8</v>
      </c>
      <c r="D28" s="46">
        <v>500</v>
      </c>
      <c r="E28" s="46"/>
      <c r="F28" s="46"/>
      <c r="G28" s="48"/>
    </row>
    <row r="29" spans="1:7" x14ac:dyDescent="0.25">
      <c r="A29" s="45"/>
      <c r="B29" s="46" t="s">
        <v>40</v>
      </c>
      <c r="C29" s="41" t="s">
        <v>9</v>
      </c>
      <c r="D29" s="46">
        <v>4285</v>
      </c>
      <c r="E29" s="46"/>
      <c r="F29" s="46"/>
      <c r="G29" s="48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2"/>
      <c r="B31" s="43"/>
      <c r="C31" s="41"/>
      <c r="D31" s="43"/>
      <c r="E31" s="43"/>
      <c r="F31" s="43"/>
      <c r="G31" s="44"/>
    </row>
    <row r="32" spans="1:7" x14ac:dyDescent="0.25">
      <c r="A32" s="45"/>
      <c r="B32" s="43"/>
      <c r="C32" s="41"/>
      <c r="D32" s="43"/>
      <c r="E32" s="43"/>
      <c r="F32" s="43"/>
      <c r="G32" s="44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6" spans="1:7" x14ac:dyDescent="0.25">
      <c r="A46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4" zoomScale="110" zoomScaleNormal="110" workbookViewId="0">
      <selection activeCell="D28" sqref="D28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213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40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91</v>
      </c>
      <c r="B5" s="27">
        <v>3000</v>
      </c>
      <c r="C5" s="27">
        <v>600</v>
      </c>
      <c r="D5" s="27">
        <f>'APBI MAMA_D'!$B5/'APBI MAMA_D'!$C5</f>
        <v>5</v>
      </c>
      <c r="E5" s="28">
        <v>1</v>
      </c>
      <c r="G5" s="72" t="s">
        <v>209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42" t="s">
        <v>33</v>
      </c>
      <c r="B8" s="43" t="s">
        <v>91</v>
      </c>
      <c r="C8" s="41" t="s">
        <v>3</v>
      </c>
      <c r="D8" s="43">
        <v>2940</v>
      </c>
      <c r="E8" s="43">
        <v>95</v>
      </c>
      <c r="F8" s="43">
        <v>2850</v>
      </c>
      <c r="G8" s="44">
        <v>95</v>
      </c>
    </row>
    <row r="9" spans="1:7" x14ac:dyDescent="0.25">
      <c r="A9" s="45"/>
      <c r="B9" s="46"/>
      <c r="C9" s="47" t="s">
        <v>9</v>
      </c>
      <c r="D9" s="46">
        <v>3300</v>
      </c>
      <c r="E9" s="46"/>
      <c r="F9" s="46"/>
      <c r="G9" s="48"/>
    </row>
    <row r="10" spans="1:7" x14ac:dyDescent="0.25">
      <c r="A10" s="45" t="s">
        <v>37</v>
      </c>
      <c r="B10" s="46" t="s">
        <v>39</v>
      </c>
      <c r="C10" s="41" t="s">
        <v>10</v>
      </c>
      <c r="D10" s="46">
        <v>500</v>
      </c>
      <c r="E10" s="46">
        <v>0.03</v>
      </c>
      <c r="F10" s="46">
        <v>1000</v>
      </c>
      <c r="G10" s="48">
        <v>0.1</v>
      </c>
    </row>
    <row r="11" spans="1:7" x14ac:dyDescent="0.25">
      <c r="A11" s="42"/>
      <c r="B11" s="43"/>
      <c r="C11" s="47" t="s">
        <v>8</v>
      </c>
      <c r="D11" s="46">
        <v>100</v>
      </c>
      <c r="E11" s="43"/>
      <c r="F11" s="43"/>
      <c r="G11" s="44"/>
    </row>
    <row r="12" spans="1:7" x14ac:dyDescent="0.25">
      <c r="A12" s="45"/>
      <c r="B12" s="43" t="s">
        <v>49</v>
      </c>
      <c r="C12" s="41" t="s">
        <v>7</v>
      </c>
      <c r="D12" s="43">
        <v>1000</v>
      </c>
      <c r="E12" s="43">
        <v>5</v>
      </c>
      <c r="F12" s="46"/>
      <c r="G12" s="48"/>
    </row>
    <row r="13" spans="1:7" x14ac:dyDescent="0.25">
      <c r="A13" s="42"/>
      <c r="B13" s="43"/>
      <c r="C13" s="41" t="s">
        <v>10</v>
      </c>
      <c r="D13" s="43">
        <v>1500</v>
      </c>
      <c r="E13" s="43">
        <v>0.1</v>
      </c>
      <c r="F13" s="43"/>
      <c r="G13" s="44"/>
    </row>
    <row r="14" spans="1:7" x14ac:dyDescent="0.25">
      <c r="A14" s="45"/>
      <c r="B14" s="46"/>
      <c r="C14" s="47" t="s">
        <v>8</v>
      </c>
      <c r="D14" s="46">
        <v>300</v>
      </c>
      <c r="E14" s="46"/>
      <c r="F14" s="46"/>
      <c r="G14" s="48"/>
    </row>
    <row r="15" spans="1:7" x14ac:dyDescent="0.25">
      <c r="A15" s="42"/>
      <c r="B15" s="46" t="s">
        <v>48</v>
      </c>
      <c r="C15" s="47" t="s">
        <v>8</v>
      </c>
      <c r="D15" s="43">
        <v>100</v>
      </c>
      <c r="E15" s="43"/>
      <c r="F15" s="43"/>
      <c r="G15" s="44"/>
    </row>
    <row r="16" spans="1:7" x14ac:dyDescent="0.25">
      <c r="A16" s="45"/>
      <c r="B16" s="46" t="s">
        <v>214</v>
      </c>
      <c r="C16" s="41" t="s">
        <v>7</v>
      </c>
      <c r="D16" s="43">
        <v>1500</v>
      </c>
      <c r="E16" s="43">
        <v>40</v>
      </c>
      <c r="F16" s="46"/>
      <c r="G16" s="48"/>
    </row>
    <row r="17" spans="1:7" x14ac:dyDescent="0.25">
      <c r="A17" s="42"/>
      <c r="B17" s="43"/>
      <c r="C17" s="41" t="s">
        <v>7</v>
      </c>
      <c r="D17" s="43">
        <v>3000</v>
      </c>
      <c r="E17" s="43">
        <v>20</v>
      </c>
      <c r="F17" s="43">
        <v>3000</v>
      </c>
      <c r="G17" s="44">
        <v>25</v>
      </c>
    </row>
    <row r="18" spans="1:7" x14ac:dyDescent="0.25">
      <c r="A18" s="45"/>
      <c r="B18" s="46"/>
      <c r="C18" s="47" t="s">
        <v>8</v>
      </c>
      <c r="D18" s="46">
        <v>1200</v>
      </c>
      <c r="E18" s="46"/>
      <c r="F18" s="46"/>
      <c r="G18" s="48"/>
    </row>
    <row r="19" spans="1:7" x14ac:dyDescent="0.25">
      <c r="A19" s="42"/>
      <c r="B19" s="46" t="s">
        <v>51</v>
      </c>
      <c r="C19" s="47" t="s">
        <v>8</v>
      </c>
      <c r="D19" s="43">
        <v>100</v>
      </c>
      <c r="E19" s="43"/>
      <c r="F19" s="43"/>
      <c r="G19" s="44"/>
    </row>
    <row r="20" spans="1:7" x14ac:dyDescent="0.25">
      <c r="A20" s="45"/>
      <c r="B20" s="46"/>
      <c r="C20" s="47" t="s">
        <v>9</v>
      </c>
      <c r="D20" s="46">
        <v>300</v>
      </c>
      <c r="E20" s="46"/>
      <c r="F20" s="46"/>
      <c r="G20" s="48"/>
    </row>
    <row r="21" spans="1:7" x14ac:dyDescent="0.25">
      <c r="A21" s="42"/>
      <c r="B21" s="43" t="s">
        <v>97</v>
      </c>
      <c r="C21" s="41" t="s">
        <v>10</v>
      </c>
      <c r="D21" s="43">
        <v>3000</v>
      </c>
      <c r="E21" s="43">
        <v>0.2</v>
      </c>
      <c r="F21" s="43"/>
      <c r="G21" s="44"/>
    </row>
    <row r="22" spans="1:7" x14ac:dyDescent="0.25">
      <c r="A22" s="45"/>
      <c r="B22" s="46"/>
      <c r="C22" s="41" t="s">
        <v>10</v>
      </c>
      <c r="D22" s="46">
        <v>2700</v>
      </c>
      <c r="E22" s="46">
        <v>1</v>
      </c>
      <c r="F22" s="46"/>
      <c r="G22" s="48"/>
    </row>
    <row r="23" spans="1:7" x14ac:dyDescent="0.25">
      <c r="A23" s="42"/>
      <c r="B23" s="43"/>
      <c r="C23" s="41" t="s">
        <v>7</v>
      </c>
      <c r="D23" s="43">
        <v>2400</v>
      </c>
      <c r="E23" s="43">
        <v>5</v>
      </c>
      <c r="F23" s="43"/>
      <c r="G23" s="44"/>
    </row>
    <row r="24" spans="1:7" x14ac:dyDescent="0.25">
      <c r="A24" s="45"/>
      <c r="B24" s="46" t="s">
        <v>215</v>
      </c>
      <c r="C24" s="41" t="s">
        <v>10</v>
      </c>
      <c r="D24" s="43">
        <v>3000</v>
      </c>
      <c r="E24" s="43">
        <v>0.1</v>
      </c>
      <c r="F24" s="46"/>
      <c r="G24" s="48"/>
    </row>
    <row r="25" spans="1:7" x14ac:dyDescent="0.25">
      <c r="A25" s="42"/>
      <c r="B25" s="43"/>
      <c r="C25" s="41" t="s">
        <v>10</v>
      </c>
      <c r="D25" s="46">
        <v>2700</v>
      </c>
      <c r="E25" s="46">
        <v>1</v>
      </c>
      <c r="F25" s="43"/>
      <c r="G25" s="44"/>
    </row>
    <row r="26" spans="1:7" x14ac:dyDescent="0.25">
      <c r="A26" s="45"/>
      <c r="B26" s="46"/>
      <c r="C26" s="47" t="s">
        <v>9</v>
      </c>
      <c r="D26" s="46">
        <v>3200</v>
      </c>
      <c r="E26" s="46"/>
      <c r="F26" s="46"/>
      <c r="G26" s="48"/>
    </row>
    <row r="27" spans="1:7" x14ac:dyDescent="0.25">
      <c r="A27" s="42"/>
      <c r="B27" s="43" t="s">
        <v>40</v>
      </c>
      <c r="C27" s="47" t="s">
        <v>9</v>
      </c>
      <c r="D27" s="43">
        <v>3300</v>
      </c>
      <c r="E27" s="43"/>
      <c r="F27" s="43"/>
      <c r="G27" s="44"/>
    </row>
    <row r="28" spans="1:7" x14ac:dyDescent="0.25">
      <c r="A28" s="45"/>
      <c r="B28" s="46"/>
      <c r="C28" s="47"/>
      <c r="D28" s="46"/>
      <c r="E28" s="46"/>
      <c r="F28" s="46"/>
      <c r="G28" s="48"/>
    </row>
    <row r="29" spans="1:7" x14ac:dyDescent="0.25">
      <c r="A29" s="42"/>
      <c r="B29" s="43"/>
      <c r="C29" s="47"/>
      <c r="D29" s="43"/>
      <c r="E29" s="43"/>
      <c r="F29" s="43"/>
      <c r="G29" s="44"/>
    </row>
    <row r="30" spans="1:7" x14ac:dyDescent="0.25">
      <c r="A30" s="45"/>
      <c r="B30" s="46"/>
      <c r="C30" s="47"/>
      <c r="D30" s="46"/>
      <c r="E30" s="46"/>
      <c r="F30" s="46"/>
      <c r="G30" s="48"/>
    </row>
    <row r="31" spans="1:7" x14ac:dyDescent="0.25">
      <c r="A31" s="42"/>
      <c r="B31" s="43"/>
      <c r="C31" s="41"/>
      <c r="D31" s="43"/>
      <c r="E31" s="43"/>
      <c r="F31" s="43"/>
      <c r="G31" s="44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5"/>
      <c r="B40" s="6"/>
      <c r="C40" s="7"/>
      <c r="D40" s="6"/>
      <c r="E40" s="6"/>
      <c r="F40" s="6"/>
      <c r="G40" s="8"/>
    </row>
    <row r="46" spans="1:7" x14ac:dyDescent="0.25">
      <c r="A46" s="5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General!$E$3:$E$22</xm:f>
          </x14:formula1>
          <xm:sqref>G5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110" zoomScaleNormal="110" workbookViewId="0">
      <selection activeCell="B20" sqref="B2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216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40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91</v>
      </c>
      <c r="B5" s="27">
        <v>3000</v>
      </c>
      <c r="C5" s="27">
        <v>600</v>
      </c>
      <c r="D5" s="27">
        <f>'APBI MAMA_I'!$B5/'APBI MAMA_I'!$C5</f>
        <v>5</v>
      </c>
      <c r="E5" s="28">
        <v>1</v>
      </c>
      <c r="G5" s="72" t="s">
        <v>209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42" t="s">
        <v>33</v>
      </c>
      <c r="B8" s="43" t="s">
        <v>91</v>
      </c>
      <c r="C8" s="41" t="s">
        <v>3</v>
      </c>
      <c r="D8" s="43">
        <v>2940</v>
      </c>
      <c r="E8" s="43">
        <v>95</v>
      </c>
      <c r="F8" s="43">
        <v>2850</v>
      </c>
      <c r="G8" s="44">
        <v>95</v>
      </c>
    </row>
    <row r="9" spans="1:7" x14ac:dyDescent="0.25">
      <c r="A9" s="45"/>
      <c r="B9" s="46"/>
      <c r="C9" s="47" t="s">
        <v>9</v>
      </c>
      <c r="D9" s="46">
        <v>3300</v>
      </c>
      <c r="E9" s="46"/>
      <c r="F9" s="46"/>
      <c r="G9" s="48"/>
    </row>
    <row r="10" spans="1:7" x14ac:dyDescent="0.25">
      <c r="A10" s="45" t="s">
        <v>37</v>
      </c>
      <c r="B10" s="46" t="s">
        <v>39</v>
      </c>
      <c r="C10" s="41" t="s">
        <v>10</v>
      </c>
      <c r="D10" s="46">
        <v>500</v>
      </c>
      <c r="E10" s="46">
        <v>0.03</v>
      </c>
      <c r="F10" s="46">
        <v>1000</v>
      </c>
      <c r="G10" s="48">
        <v>0.1</v>
      </c>
    </row>
    <row r="11" spans="1:7" x14ac:dyDescent="0.25">
      <c r="A11" s="42"/>
      <c r="B11" s="43"/>
      <c r="C11" s="47" t="s">
        <v>8</v>
      </c>
      <c r="D11" s="46">
        <v>100</v>
      </c>
      <c r="E11" s="43"/>
      <c r="F11" s="43"/>
      <c r="G11" s="44"/>
    </row>
    <row r="12" spans="1:7" x14ac:dyDescent="0.25">
      <c r="A12" s="45"/>
      <c r="B12" s="43" t="s">
        <v>48</v>
      </c>
      <c r="C12" s="41" t="s">
        <v>7</v>
      </c>
      <c r="D12" s="43">
        <v>1000</v>
      </c>
      <c r="E12" s="43">
        <v>5</v>
      </c>
      <c r="F12" s="46"/>
      <c r="G12" s="48"/>
    </row>
    <row r="13" spans="1:7" x14ac:dyDescent="0.25">
      <c r="A13" s="42"/>
      <c r="B13" s="43"/>
      <c r="C13" s="41" t="s">
        <v>10</v>
      </c>
      <c r="D13" s="43">
        <v>1500</v>
      </c>
      <c r="E13" s="43">
        <v>0.1</v>
      </c>
      <c r="F13" s="43"/>
      <c r="G13" s="44"/>
    </row>
    <row r="14" spans="1:7" x14ac:dyDescent="0.25">
      <c r="A14" s="45"/>
      <c r="B14" s="46"/>
      <c r="C14" s="47" t="s">
        <v>8</v>
      </c>
      <c r="D14" s="46">
        <v>300</v>
      </c>
      <c r="E14" s="46"/>
      <c r="F14" s="46"/>
      <c r="G14" s="48"/>
    </row>
    <row r="15" spans="1:7" x14ac:dyDescent="0.25">
      <c r="A15" s="42"/>
      <c r="B15" s="46" t="s">
        <v>49</v>
      </c>
      <c r="C15" s="47" t="s">
        <v>8</v>
      </c>
      <c r="D15" s="43">
        <v>100</v>
      </c>
      <c r="E15" s="43"/>
      <c r="F15" s="43"/>
      <c r="G15" s="44"/>
    </row>
    <row r="16" spans="1:7" x14ac:dyDescent="0.25">
      <c r="A16" s="45"/>
      <c r="B16" s="46" t="s">
        <v>217</v>
      </c>
      <c r="C16" s="41" t="s">
        <v>7</v>
      </c>
      <c r="D16" s="43">
        <v>1500</v>
      </c>
      <c r="E16" s="43">
        <v>40</v>
      </c>
      <c r="F16" s="46"/>
      <c r="G16" s="48"/>
    </row>
    <row r="17" spans="1:7" x14ac:dyDescent="0.25">
      <c r="A17" s="42"/>
      <c r="B17" s="43"/>
      <c r="C17" s="41" t="s">
        <v>7</v>
      </c>
      <c r="D17" s="43">
        <v>3000</v>
      </c>
      <c r="E17" s="43">
        <v>20</v>
      </c>
      <c r="F17" s="43">
        <v>3000</v>
      </c>
      <c r="G17" s="44">
        <v>25</v>
      </c>
    </row>
    <row r="18" spans="1:7" x14ac:dyDescent="0.25">
      <c r="A18" s="45"/>
      <c r="B18" s="46"/>
      <c r="C18" s="47" t="s">
        <v>8</v>
      </c>
      <c r="D18" s="46">
        <v>1200</v>
      </c>
      <c r="E18" s="46"/>
      <c r="F18" s="46"/>
      <c r="G18" s="48"/>
    </row>
    <row r="19" spans="1:7" x14ac:dyDescent="0.25">
      <c r="A19" s="42"/>
      <c r="B19" s="46" t="s">
        <v>47</v>
      </c>
      <c r="C19" s="47" t="s">
        <v>8</v>
      </c>
      <c r="D19" s="43">
        <v>100</v>
      </c>
      <c r="E19" s="43"/>
      <c r="F19" s="43"/>
      <c r="G19" s="44"/>
    </row>
    <row r="20" spans="1:7" x14ac:dyDescent="0.25">
      <c r="A20" s="45"/>
      <c r="B20" s="46"/>
      <c r="C20" s="47" t="s">
        <v>9</v>
      </c>
      <c r="D20" s="46">
        <v>300</v>
      </c>
      <c r="E20" s="46"/>
      <c r="F20" s="46"/>
      <c r="G20" s="48"/>
    </row>
    <row r="21" spans="1:7" x14ac:dyDescent="0.25">
      <c r="A21" s="42"/>
      <c r="B21" s="43" t="s">
        <v>97</v>
      </c>
      <c r="C21" s="41" t="s">
        <v>10</v>
      </c>
      <c r="D21" s="43">
        <v>3000</v>
      </c>
      <c r="E21" s="43">
        <v>0.2</v>
      </c>
      <c r="F21" s="43"/>
      <c r="G21" s="44"/>
    </row>
    <row r="22" spans="1:7" x14ac:dyDescent="0.25">
      <c r="A22" s="45"/>
      <c r="B22" s="46"/>
      <c r="C22" s="41" t="s">
        <v>10</v>
      </c>
      <c r="D22" s="46">
        <v>2700</v>
      </c>
      <c r="E22" s="46">
        <v>1</v>
      </c>
      <c r="F22" s="46"/>
      <c r="G22" s="48"/>
    </row>
    <row r="23" spans="1:7" x14ac:dyDescent="0.25">
      <c r="A23" s="42"/>
      <c r="B23" s="43"/>
      <c r="C23" s="41" t="s">
        <v>7</v>
      </c>
      <c r="D23" s="43">
        <v>2400</v>
      </c>
      <c r="E23" s="43">
        <v>5</v>
      </c>
      <c r="F23" s="43"/>
      <c r="G23" s="44"/>
    </row>
    <row r="24" spans="1:7" x14ac:dyDescent="0.25">
      <c r="A24" s="45"/>
      <c r="B24" s="46" t="s">
        <v>215</v>
      </c>
      <c r="C24" s="41" t="s">
        <v>10</v>
      </c>
      <c r="D24" s="43">
        <v>3000</v>
      </c>
      <c r="E24" s="43">
        <v>0.1</v>
      </c>
      <c r="F24" s="46"/>
      <c r="G24" s="48"/>
    </row>
    <row r="25" spans="1:7" x14ac:dyDescent="0.25">
      <c r="A25" s="42"/>
      <c r="B25" s="43"/>
      <c r="C25" s="41" t="s">
        <v>10</v>
      </c>
      <c r="D25" s="46">
        <v>2700</v>
      </c>
      <c r="E25" s="46">
        <v>1</v>
      </c>
      <c r="F25" s="43"/>
      <c r="G25" s="44"/>
    </row>
    <row r="26" spans="1:7" x14ac:dyDescent="0.25">
      <c r="A26" s="45"/>
      <c r="B26" s="46"/>
      <c r="C26" s="47" t="s">
        <v>9</v>
      </c>
      <c r="D26" s="46">
        <v>3200</v>
      </c>
      <c r="E26" s="46"/>
      <c r="F26" s="46"/>
      <c r="G26" s="48"/>
    </row>
    <row r="27" spans="1:7" x14ac:dyDescent="0.25">
      <c r="A27" s="42"/>
      <c r="B27" s="43" t="s">
        <v>40</v>
      </c>
      <c r="C27" s="47" t="s">
        <v>9</v>
      </c>
      <c r="D27" s="43">
        <v>3300</v>
      </c>
      <c r="E27" s="43"/>
      <c r="F27" s="43"/>
      <c r="G27" s="44"/>
    </row>
    <row r="28" spans="1:7" x14ac:dyDescent="0.25">
      <c r="A28" s="45"/>
      <c r="B28" s="46"/>
      <c r="C28" s="47"/>
      <c r="D28" s="46"/>
      <c r="E28" s="46"/>
      <c r="F28" s="46"/>
      <c r="G28" s="48"/>
    </row>
    <row r="29" spans="1:7" x14ac:dyDescent="0.25">
      <c r="A29" s="42"/>
      <c r="B29" s="43"/>
      <c r="C29" s="47"/>
      <c r="D29" s="43"/>
      <c r="E29" s="43"/>
      <c r="F29" s="43"/>
      <c r="G29" s="44"/>
    </row>
    <row r="30" spans="1:7" x14ac:dyDescent="0.25">
      <c r="A30" s="45"/>
      <c r="B30" s="46"/>
      <c r="C30" s="47"/>
      <c r="D30" s="46"/>
      <c r="E30" s="46"/>
      <c r="F30" s="46"/>
      <c r="G30" s="48"/>
    </row>
    <row r="31" spans="1:7" x14ac:dyDescent="0.25">
      <c r="A31" s="42"/>
      <c r="B31" s="43"/>
      <c r="C31" s="41"/>
      <c r="D31" s="43"/>
      <c r="E31" s="43"/>
      <c r="F31" s="43"/>
      <c r="G31" s="44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5"/>
      <c r="B40" s="6"/>
      <c r="C40" s="7"/>
      <c r="D40" s="6"/>
      <c r="E40" s="6"/>
      <c r="F40" s="6"/>
      <c r="G40" s="8"/>
    </row>
    <row r="46" spans="1:7" x14ac:dyDescent="0.25">
      <c r="A46" s="5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General!$E$3:$E$22</xm:f>
          </x14:formula1>
          <xm:sqref>G5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80" zoomScaleNormal="80" workbookViewId="0">
      <selection activeCell="C23" sqref="C23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203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204</v>
      </c>
      <c r="B5" s="27">
        <v>5500</v>
      </c>
      <c r="C5" s="27">
        <v>275</v>
      </c>
      <c r="D5" s="27">
        <f>'VEJIGA+LN 5500-20FX'!$B5/'VEJIGA+LN 5500-20FX'!$C5</f>
        <v>20</v>
      </c>
      <c r="E5" s="28">
        <v>1</v>
      </c>
      <c r="G5" s="72" t="s">
        <v>131</v>
      </c>
      <c r="H5" s="35"/>
    </row>
    <row r="6" spans="1:9" ht="19.5" customHeight="1" x14ac:dyDescent="0.3">
      <c r="A6" s="9" t="s">
        <v>53</v>
      </c>
      <c r="B6" s="10">
        <v>4500</v>
      </c>
      <c r="C6" s="10">
        <v>225</v>
      </c>
      <c r="D6" s="10">
        <f>'VEJIGA+LN 5500-20FX'!$B6/'VEJIGA+LN 5500-20FX'!$C6</f>
        <v>20</v>
      </c>
      <c r="E6" s="11">
        <v>1</v>
      </c>
      <c r="H6" s="36"/>
    </row>
    <row r="7" spans="1:9" x14ac:dyDescent="0.25">
      <c r="I7" s="34"/>
    </row>
    <row r="8" spans="1:9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9" x14ac:dyDescent="0.25">
      <c r="A9" s="42" t="s">
        <v>33</v>
      </c>
      <c r="B9" s="43" t="s">
        <v>204</v>
      </c>
      <c r="C9" s="41" t="s">
        <v>3</v>
      </c>
      <c r="D9" s="43">
        <v>5390</v>
      </c>
      <c r="E9" s="43">
        <v>95</v>
      </c>
      <c r="F9" s="43"/>
      <c r="G9" s="44"/>
    </row>
    <row r="10" spans="1:9" x14ac:dyDescent="0.25">
      <c r="A10" s="45"/>
      <c r="B10" s="46"/>
      <c r="C10" s="47" t="s">
        <v>9</v>
      </c>
      <c r="D10" s="46">
        <v>5885</v>
      </c>
      <c r="E10" s="46"/>
      <c r="F10" s="46"/>
      <c r="G10" s="48"/>
    </row>
    <row r="11" spans="1:9" x14ac:dyDescent="0.25">
      <c r="A11" s="42"/>
      <c r="B11" s="43" t="s">
        <v>53</v>
      </c>
      <c r="C11" s="41" t="s">
        <v>3</v>
      </c>
      <c r="D11" s="43">
        <v>4410</v>
      </c>
      <c r="E11" s="43">
        <v>95</v>
      </c>
      <c r="F11" s="43"/>
      <c r="G11" s="44"/>
    </row>
    <row r="12" spans="1:9" x14ac:dyDescent="0.25">
      <c r="A12" s="42" t="s">
        <v>37</v>
      </c>
      <c r="B12" s="43" t="s">
        <v>76</v>
      </c>
      <c r="C12" s="41" t="s">
        <v>7</v>
      </c>
      <c r="D12" s="43">
        <v>5500</v>
      </c>
      <c r="E12" s="43">
        <v>1</v>
      </c>
      <c r="F12" s="43">
        <v>5500</v>
      </c>
      <c r="G12" s="44">
        <v>5</v>
      </c>
    </row>
    <row r="13" spans="1:9" x14ac:dyDescent="0.25">
      <c r="A13" s="45"/>
      <c r="B13" s="46"/>
      <c r="C13" s="41" t="s">
        <v>7</v>
      </c>
      <c r="D13" s="46">
        <v>4700</v>
      </c>
      <c r="E13" s="46">
        <v>10</v>
      </c>
      <c r="F13" s="46">
        <v>4700</v>
      </c>
      <c r="G13" s="48">
        <v>15</v>
      </c>
    </row>
    <row r="14" spans="1:9" x14ac:dyDescent="0.25">
      <c r="A14" s="42"/>
      <c r="B14" s="43"/>
      <c r="C14" s="41" t="s">
        <v>7</v>
      </c>
      <c r="D14" s="43">
        <v>5000</v>
      </c>
      <c r="E14" s="43">
        <v>22</v>
      </c>
      <c r="F14" s="43"/>
      <c r="G14" s="44"/>
    </row>
    <row r="15" spans="1:9" x14ac:dyDescent="0.25">
      <c r="A15" s="45"/>
      <c r="B15" s="46"/>
      <c r="C15" s="41" t="s">
        <v>7</v>
      </c>
      <c r="D15" s="46">
        <v>4000</v>
      </c>
      <c r="E15" s="46">
        <v>38</v>
      </c>
      <c r="F15" s="46"/>
      <c r="G15" s="48"/>
    </row>
    <row r="16" spans="1:9" x14ac:dyDescent="0.25">
      <c r="A16" s="42"/>
      <c r="B16" s="43"/>
      <c r="C16" s="41" t="s">
        <v>7</v>
      </c>
      <c r="D16" s="43">
        <v>2600</v>
      </c>
      <c r="E16" s="43">
        <v>50</v>
      </c>
      <c r="F16" s="43">
        <v>2600</v>
      </c>
      <c r="G16" s="44">
        <v>55</v>
      </c>
    </row>
    <row r="17" spans="1:7" x14ac:dyDescent="0.25">
      <c r="A17" s="45"/>
      <c r="B17" s="43"/>
      <c r="C17" s="41" t="s">
        <v>7</v>
      </c>
      <c r="D17" s="43">
        <v>3000</v>
      </c>
      <c r="E17" s="43">
        <v>57</v>
      </c>
      <c r="F17" s="43"/>
      <c r="G17" s="44"/>
    </row>
    <row r="18" spans="1:7" x14ac:dyDescent="0.25">
      <c r="A18" s="42"/>
      <c r="B18" s="43"/>
      <c r="C18" s="41" t="s">
        <v>7</v>
      </c>
      <c r="D18" s="43">
        <v>2000</v>
      </c>
      <c r="E18" s="43">
        <v>85</v>
      </c>
      <c r="F18" s="43"/>
      <c r="G18" s="44"/>
    </row>
    <row r="19" spans="1:7" x14ac:dyDescent="0.25">
      <c r="A19" s="45"/>
      <c r="B19" s="46"/>
      <c r="C19" s="41" t="s">
        <v>8</v>
      </c>
      <c r="D19" s="46">
        <v>3500</v>
      </c>
      <c r="E19" s="46"/>
      <c r="F19" s="46"/>
      <c r="G19" s="48"/>
    </row>
    <row r="20" spans="1:7" x14ac:dyDescent="0.25">
      <c r="A20" s="42"/>
      <c r="B20" s="43" t="s">
        <v>92</v>
      </c>
      <c r="C20" s="41" t="s">
        <v>9</v>
      </c>
      <c r="D20" s="43">
        <v>5000</v>
      </c>
      <c r="E20" s="43"/>
      <c r="F20" s="43"/>
      <c r="G20" s="44"/>
    </row>
    <row r="21" spans="1:7" x14ac:dyDescent="0.25">
      <c r="A21" s="45"/>
      <c r="B21" s="43" t="s">
        <v>84</v>
      </c>
      <c r="C21" s="41" t="s">
        <v>9</v>
      </c>
      <c r="D21" s="43">
        <v>4950</v>
      </c>
      <c r="E21" s="43"/>
      <c r="F21" s="43">
        <v>5300</v>
      </c>
      <c r="G21" s="44"/>
    </row>
    <row r="22" spans="1:7" x14ac:dyDescent="0.25">
      <c r="A22" s="42"/>
      <c r="B22" s="46"/>
      <c r="C22" s="41" t="s">
        <v>10</v>
      </c>
      <c r="D22" s="46">
        <v>4300</v>
      </c>
      <c r="E22" s="46">
        <v>15</v>
      </c>
      <c r="F22" s="46">
        <v>4300</v>
      </c>
      <c r="G22" s="48">
        <v>20</v>
      </c>
    </row>
    <row r="23" spans="1:7" x14ac:dyDescent="0.25">
      <c r="A23" s="45"/>
      <c r="B23" s="43"/>
      <c r="C23" s="41" t="s">
        <v>10</v>
      </c>
      <c r="D23" s="43">
        <v>3900</v>
      </c>
      <c r="E23" s="43">
        <v>100</v>
      </c>
      <c r="F23" s="43">
        <v>3900</v>
      </c>
      <c r="G23" s="44">
        <v>120</v>
      </c>
    </row>
    <row r="24" spans="1:7" x14ac:dyDescent="0.25">
      <c r="A24" s="42"/>
      <c r="B24" s="46"/>
      <c r="C24" s="41" t="s">
        <v>10</v>
      </c>
      <c r="D24" s="43">
        <v>3500</v>
      </c>
      <c r="E24" s="43">
        <v>130</v>
      </c>
      <c r="F24" s="46">
        <v>3500</v>
      </c>
      <c r="G24" s="48">
        <v>150</v>
      </c>
    </row>
    <row r="25" spans="1:7" x14ac:dyDescent="0.25">
      <c r="A25" s="45"/>
      <c r="B25" s="46"/>
      <c r="C25" s="41" t="s">
        <v>10</v>
      </c>
      <c r="D25" s="46">
        <v>2600</v>
      </c>
      <c r="E25" s="46">
        <v>150</v>
      </c>
      <c r="F25" s="43">
        <v>2600</v>
      </c>
      <c r="G25" s="44">
        <v>170</v>
      </c>
    </row>
    <row r="26" spans="1:7" x14ac:dyDescent="0.25">
      <c r="A26" s="45"/>
      <c r="B26" s="46" t="s">
        <v>78</v>
      </c>
      <c r="C26" s="41" t="s">
        <v>7</v>
      </c>
      <c r="D26" s="46">
        <v>2200</v>
      </c>
      <c r="E26" s="46">
        <v>50</v>
      </c>
      <c r="F26" s="46"/>
      <c r="G26" s="48"/>
    </row>
    <row r="27" spans="1:7" x14ac:dyDescent="0.25">
      <c r="A27" s="42"/>
      <c r="B27" s="43" t="s">
        <v>79</v>
      </c>
      <c r="C27" s="41" t="s">
        <v>7</v>
      </c>
      <c r="D27" s="43">
        <v>3500</v>
      </c>
      <c r="E27" s="43">
        <v>5</v>
      </c>
      <c r="F27" s="43"/>
      <c r="G27" s="44"/>
    </row>
    <row r="28" spans="1:7" x14ac:dyDescent="0.25">
      <c r="A28" s="45"/>
      <c r="B28" s="43"/>
      <c r="C28" s="41" t="s">
        <v>9</v>
      </c>
      <c r="D28" s="43">
        <v>4300</v>
      </c>
      <c r="E28" s="43"/>
      <c r="F28" s="46">
        <v>4700</v>
      </c>
      <c r="G28" s="48"/>
    </row>
    <row r="29" spans="1:7" x14ac:dyDescent="0.25">
      <c r="A29" s="42"/>
      <c r="B29" s="43" t="s">
        <v>80</v>
      </c>
      <c r="C29" s="41" t="s">
        <v>7</v>
      </c>
      <c r="D29" s="43">
        <v>3500</v>
      </c>
      <c r="E29" s="43">
        <v>5</v>
      </c>
      <c r="F29" s="43"/>
      <c r="G29" s="44"/>
    </row>
    <row r="30" spans="1:7" x14ac:dyDescent="0.25">
      <c r="A30" s="45"/>
      <c r="B30" s="43"/>
      <c r="C30" s="41" t="s">
        <v>9</v>
      </c>
      <c r="D30" s="43">
        <v>4300</v>
      </c>
      <c r="E30" s="43"/>
      <c r="F30" s="46">
        <v>4700</v>
      </c>
      <c r="G30" s="48"/>
    </row>
    <row r="31" spans="1:7" x14ac:dyDescent="0.25">
      <c r="A31" s="45"/>
      <c r="B31" s="43" t="s">
        <v>85</v>
      </c>
      <c r="C31" s="41" t="s">
        <v>9</v>
      </c>
      <c r="D31" s="43">
        <v>4000</v>
      </c>
      <c r="E31" s="43"/>
      <c r="F31" s="43"/>
      <c r="G31" s="44"/>
    </row>
    <row r="32" spans="1:7" x14ac:dyDescent="0.25">
      <c r="A32" s="45"/>
      <c r="B32" s="46"/>
      <c r="C32" s="41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6"/>
      <c r="G33" s="48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80" zoomScaleNormal="80" workbookViewId="0">
      <selection activeCell="G5" sqref="G5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157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74</v>
      </c>
      <c r="B5" s="27">
        <v>6000</v>
      </c>
      <c r="C5" s="27">
        <v>300</v>
      </c>
      <c r="D5" s="27">
        <f>'PR 6000-20FX'!$B5/'PR 6000-20FX'!$C5</f>
        <v>20</v>
      </c>
      <c r="E5" s="28">
        <v>1</v>
      </c>
      <c r="G5" s="72" t="s">
        <v>131</v>
      </c>
      <c r="H5" s="35"/>
    </row>
    <row r="6" spans="1:9" x14ac:dyDescent="0.25">
      <c r="I6" s="34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9" x14ac:dyDescent="0.25">
      <c r="A8" s="42" t="s">
        <v>33</v>
      </c>
      <c r="B8" s="43" t="s">
        <v>74</v>
      </c>
      <c r="C8" s="41" t="s">
        <v>3</v>
      </c>
      <c r="D8" s="43">
        <v>5880</v>
      </c>
      <c r="E8" s="43">
        <v>95</v>
      </c>
      <c r="F8" s="43"/>
      <c r="G8" s="44"/>
    </row>
    <row r="9" spans="1:9" x14ac:dyDescent="0.25">
      <c r="A9" s="45"/>
      <c r="B9" s="46"/>
      <c r="C9" s="47" t="s">
        <v>9</v>
      </c>
      <c r="D9" s="46">
        <v>6420</v>
      </c>
      <c r="E9" s="46"/>
      <c r="F9" s="46"/>
      <c r="G9" s="48"/>
    </row>
    <row r="10" spans="1:9" x14ac:dyDescent="0.25">
      <c r="A10" s="42"/>
      <c r="B10" s="43" t="s">
        <v>75</v>
      </c>
      <c r="C10" s="41" t="s">
        <v>3</v>
      </c>
      <c r="D10" s="43">
        <v>5880</v>
      </c>
      <c r="E10" s="43">
        <v>95</v>
      </c>
      <c r="F10" s="43"/>
      <c r="G10" s="44"/>
    </row>
    <row r="11" spans="1:9" x14ac:dyDescent="0.25">
      <c r="A11" s="45"/>
      <c r="B11" s="46"/>
      <c r="C11" s="47" t="s">
        <v>9</v>
      </c>
      <c r="D11" s="46">
        <v>6420</v>
      </c>
      <c r="E11" s="46"/>
      <c r="F11" s="46"/>
      <c r="G11" s="48"/>
    </row>
    <row r="12" spans="1:9" x14ac:dyDescent="0.25">
      <c r="A12" s="42" t="s">
        <v>37</v>
      </c>
      <c r="B12" s="43" t="s">
        <v>76</v>
      </c>
      <c r="C12" s="41" t="s">
        <v>7</v>
      </c>
      <c r="D12" s="43">
        <v>6000</v>
      </c>
      <c r="E12" s="43">
        <v>1</v>
      </c>
      <c r="F12" s="43">
        <v>6000</v>
      </c>
      <c r="G12" s="44">
        <v>10</v>
      </c>
    </row>
    <row r="13" spans="1:9" x14ac:dyDescent="0.25">
      <c r="A13" s="45"/>
      <c r="B13" s="46"/>
      <c r="C13" s="41" t="s">
        <v>7</v>
      </c>
      <c r="D13" s="46">
        <v>5000</v>
      </c>
      <c r="E13" s="46">
        <v>22</v>
      </c>
      <c r="F13" s="46"/>
      <c r="G13" s="48"/>
    </row>
    <row r="14" spans="1:9" x14ac:dyDescent="0.25">
      <c r="A14" s="42"/>
      <c r="B14" s="43"/>
      <c r="C14" s="41" t="s">
        <v>7</v>
      </c>
      <c r="D14" s="43">
        <v>4000</v>
      </c>
      <c r="E14" s="43">
        <v>38</v>
      </c>
      <c r="F14" s="43"/>
      <c r="G14" s="44"/>
    </row>
    <row r="15" spans="1:9" x14ac:dyDescent="0.25">
      <c r="A15" s="45"/>
      <c r="B15" s="46"/>
      <c r="C15" s="41" t="s">
        <v>7</v>
      </c>
      <c r="D15" s="46">
        <v>3000</v>
      </c>
      <c r="E15" s="46">
        <v>57</v>
      </c>
      <c r="F15" s="46"/>
      <c r="G15" s="48"/>
    </row>
    <row r="16" spans="1:9" x14ac:dyDescent="0.25">
      <c r="A16" s="42"/>
      <c r="B16" s="43" t="s">
        <v>77</v>
      </c>
      <c r="C16" s="41" t="s">
        <v>7</v>
      </c>
      <c r="D16" s="43">
        <v>6000</v>
      </c>
      <c r="E16" s="43">
        <v>3</v>
      </c>
      <c r="F16" s="43">
        <v>6000</v>
      </c>
      <c r="G16" s="44">
        <v>10</v>
      </c>
    </row>
    <row r="17" spans="1:7" x14ac:dyDescent="0.25">
      <c r="A17" s="45"/>
      <c r="B17" s="46"/>
      <c r="C17" s="41" t="s">
        <v>7</v>
      </c>
      <c r="D17" s="46">
        <v>4800</v>
      </c>
      <c r="E17" s="46">
        <v>25</v>
      </c>
      <c r="F17" s="46"/>
      <c r="G17" s="48"/>
    </row>
    <row r="18" spans="1:7" x14ac:dyDescent="0.25">
      <c r="A18" s="42"/>
      <c r="B18" s="43"/>
      <c r="C18" s="41" t="s">
        <v>7</v>
      </c>
      <c r="D18" s="43">
        <v>4000</v>
      </c>
      <c r="E18" s="43">
        <v>50</v>
      </c>
      <c r="F18" s="43"/>
      <c r="G18" s="44"/>
    </row>
    <row r="19" spans="1:7" x14ac:dyDescent="0.25">
      <c r="A19" s="45"/>
      <c r="B19" s="46" t="s">
        <v>78</v>
      </c>
      <c r="C19" s="41" t="s">
        <v>7</v>
      </c>
      <c r="D19" s="46">
        <v>2200</v>
      </c>
      <c r="E19" s="46">
        <v>50</v>
      </c>
      <c r="F19" s="46"/>
      <c r="G19" s="48"/>
    </row>
    <row r="20" spans="1:7" x14ac:dyDescent="0.25">
      <c r="A20" s="42"/>
      <c r="B20" s="43" t="s">
        <v>79</v>
      </c>
      <c r="C20" s="41" t="s">
        <v>7</v>
      </c>
      <c r="D20" s="43">
        <v>3500</v>
      </c>
      <c r="E20" s="43">
        <v>5</v>
      </c>
      <c r="F20" s="43"/>
      <c r="G20" s="44"/>
    </row>
    <row r="21" spans="1:7" x14ac:dyDescent="0.25">
      <c r="A21" s="45"/>
      <c r="B21" s="46"/>
      <c r="C21" s="41" t="s">
        <v>9</v>
      </c>
      <c r="D21" s="46">
        <v>3700</v>
      </c>
      <c r="E21" s="46"/>
      <c r="F21" s="46"/>
      <c r="G21" s="48"/>
    </row>
    <row r="22" spans="1:7" x14ac:dyDescent="0.25">
      <c r="A22" s="42"/>
      <c r="B22" s="43" t="s">
        <v>80</v>
      </c>
      <c r="C22" s="41" t="s">
        <v>7</v>
      </c>
      <c r="D22" s="43">
        <v>3500</v>
      </c>
      <c r="E22" s="43">
        <v>5</v>
      </c>
      <c r="F22" s="43"/>
      <c r="G22" s="44"/>
    </row>
    <row r="23" spans="1:7" x14ac:dyDescent="0.25">
      <c r="A23" s="45"/>
      <c r="B23" s="46"/>
      <c r="C23" s="47" t="s">
        <v>9</v>
      </c>
      <c r="D23" s="46">
        <v>3700</v>
      </c>
      <c r="E23" s="46"/>
      <c r="F23" s="46"/>
      <c r="G23" s="48"/>
    </row>
    <row r="24" spans="1:7" x14ac:dyDescent="0.25">
      <c r="A24" s="42"/>
      <c r="B24" s="43" t="s">
        <v>81</v>
      </c>
      <c r="C24" s="41" t="s">
        <v>7</v>
      </c>
      <c r="D24" s="43">
        <v>5700</v>
      </c>
      <c r="E24" s="43">
        <v>20</v>
      </c>
      <c r="F24" s="43"/>
      <c r="G24" s="44"/>
    </row>
    <row r="25" spans="1:7" x14ac:dyDescent="0.25">
      <c r="A25" s="45"/>
      <c r="B25" s="46" t="s">
        <v>82</v>
      </c>
      <c r="C25" s="47" t="s">
        <v>10</v>
      </c>
      <c r="D25" s="46">
        <v>2600</v>
      </c>
      <c r="E25" s="46">
        <v>1</v>
      </c>
      <c r="F25" s="46"/>
      <c r="G25" s="48"/>
    </row>
    <row r="26" spans="1:7" x14ac:dyDescent="0.25">
      <c r="A26" s="42"/>
      <c r="B26" s="43"/>
      <c r="C26" s="41"/>
      <c r="D26" s="43"/>
      <c r="E26" s="43"/>
      <c r="F26" s="43"/>
      <c r="G26" s="44"/>
    </row>
    <row r="27" spans="1:7" x14ac:dyDescent="0.25">
      <c r="A27" s="45"/>
      <c r="B27" s="46"/>
      <c r="C27" s="47"/>
      <c r="D27" s="46"/>
      <c r="E27" s="46"/>
      <c r="F27" s="46"/>
      <c r="G27" s="48"/>
    </row>
    <row r="28" spans="1:7" x14ac:dyDescent="0.25">
      <c r="A28" s="42"/>
      <c r="B28" s="43"/>
      <c r="C28" s="41"/>
      <c r="D28" s="43"/>
      <c r="E28" s="43"/>
      <c r="F28" s="43"/>
      <c r="G28" s="44"/>
    </row>
    <row r="29" spans="1:7" x14ac:dyDescent="0.25">
      <c r="A29" s="45"/>
      <c r="B29" s="46"/>
      <c r="C29" s="47"/>
      <c r="D29" s="46"/>
      <c r="E29" s="46"/>
      <c r="F29" s="46"/>
      <c r="G29" s="48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5"/>
      <c r="B31" s="46"/>
      <c r="C31" s="47"/>
      <c r="D31" s="46"/>
      <c r="E31" s="46"/>
      <c r="F31" s="46"/>
      <c r="G31" s="48"/>
    </row>
    <row r="32" spans="1:7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2"/>
      <c r="B44" s="43"/>
      <c r="C44" s="41"/>
      <c r="D44" s="43"/>
      <c r="E44" s="43"/>
      <c r="F44" s="43"/>
      <c r="G44" s="44"/>
    </row>
    <row r="45" spans="1:7" x14ac:dyDescent="0.25">
      <c r="E45" s="6"/>
      <c r="F45" s="6"/>
      <c r="G45" s="8"/>
    </row>
    <row r="46" spans="1:7" x14ac:dyDescent="0.25">
      <c r="A46" s="5" t="s">
        <v>41</v>
      </c>
      <c r="B46" s="6"/>
      <c r="C46" s="7"/>
      <c r="D46" s="6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4" zoomScale="80" zoomScaleNormal="80" workbookViewId="0">
      <selection activeCell="G25" sqref="G25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73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74</v>
      </c>
      <c r="B5" s="27">
        <v>6000</v>
      </c>
      <c r="C5" s="27">
        <v>300</v>
      </c>
      <c r="D5" s="27">
        <f>'PR+VS 6000-20FX'!$B5/'PR+VS 6000-20FX'!$C5</f>
        <v>20</v>
      </c>
      <c r="E5" s="28">
        <v>1</v>
      </c>
      <c r="G5" s="72" t="s">
        <v>131</v>
      </c>
      <c r="H5" s="35"/>
    </row>
    <row r="6" spans="1:9" ht="19.5" customHeight="1" x14ac:dyDescent="0.3">
      <c r="A6" s="9" t="s">
        <v>75</v>
      </c>
      <c r="B6" s="10">
        <v>6000</v>
      </c>
      <c r="C6" s="10">
        <v>300</v>
      </c>
      <c r="D6" s="10">
        <f>'PR+VS 6000-20FX'!$B6/'PR+VS 6000-20FX'!$C6</f>
        <v>20</v>
      </c>
      <c r="E6" s="11">
        <v>1</v>
      </c>
      <c r="H6" s="36"/>
    </row>
    <row r="7" spans="1:9" x14ac:dyDescent="0.25">
      <c r="I7" s="34"/>
    </row>
    <row r="8" spans="1:9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9" x14ac:dyDescent="0.25">
      <c r="A9" s="42" t="s">
        <v>33</v>
      </c>
      <c r="B9" s="43" t="s">
        <v>74</v>
      </c>
      <c r="C9" s="41" t="s">
        <v>3</v>
      </c>
      <c r="D9" s="43">
        <v>5880</v>
      </c>
      <c r="E9" s="43">
        <v>95</v>
      </c>
      <c r="F9" s="43"/>
      <c r="G9" s="44"/>
    </row>
    <row r="10" spans="1:9" x14ac:dyDescent="0.25">
      <c r="A10" s="45"/>
      <c r="B10" s="46"/>
      <c r="C10" s="47" t="s">
        <v>9</v>
      </c>
      <c r="D10" s="46">
        <v>6420</v>
      </c>
      <c r="E10" s="46"/>
      <c r="F10" s="46"/>
      <c r="G10" s="48"/>
    </row>
    <row r="11" spans="1:9" x14ac:dyDescent="0.25">
      <c r="A11" s="42"/>
      <c r="B11" s="43" t="s">
        <v>75</v>
      </c>
      <c r="C11" s="41" t="s">
        <v>3</v>
      </c>
      <c r="D11" s="43">
        <v>5880</v>
      </c>
      <c r="E11" s="43">
        <v>95</v>
      </c>
      <c r="F11" s="43"/>
      <c r="G11" s="44"/>
    </row>
    <row r="12" spans="1:9" x14ac:dyDescent="0.25">
      <c r="A12" s="45"/>
      <c r="B12" s="46"/>
      <c r="C12" s="47" t="s">
        <v>9</v>
      </c>
      <c r="D12" s="46">
        <v>6420</v>
      </c>
      <c r="E12" s="46"/>
      <c r="F12" s="46"/>
      <c r="G12" s="48"/>
    </row>
    <row r="13" spans="1:9" x14ac:dyDescent="0.25">
      <c r="A13" s="42" t="s">
        <v>37</v>
      </c>
      <c r="B13" s="43" t="s">
        <v>76</v>
      </c>
      <c r="C13" s="41" t="s">
        <v>7</v>
      </c>
      <c r="D13" s="43">
        <v>6000</v>
      </c>
      <c r="E13" s="43">
        <v>1</v>
      </c>
      <c r="F13" s="43">
        <v>6000</v>
      </c>
      <c r="G13" s="44">
        <v>5</v>
      </c>
    </row>
    <row r="14" spans="1:9" x14ac:dyDescent="0.25">
      <c r="A14" s="45"/>
      <c r="B14" s="46"/>
      <c r="C14" s="41" t="s">
        <v>7</v>
      </c>
      <c r="D14" s="46">
        <v>5000</v>
      </c>
      <c r="E14" s="46">
        <v>22</v>
      </c>
      <c r="F14" s="46"/>
      <c r="G14" s="48"/>
    </row>
    <row r="15" spans="1:9" x14ac:dyDescent="0.25">
      <c r="A15" s="42"/>
      <c r="B15" s="43"/>
      <c r="C15" s="41" t="s">
        <v>7</v>
      </c>
      <c r="D15" s="43">
        <v>4000</v>
      </c>
      <c r="E15" s="43">
        <v>38</v>
      </c>
      <c r="F15" s="43"/>
      <c r="G15" s="44"/>
    </row>
    <row r="16" spans="1:9" x14ac:dyDescent="0.25">
      <c r="A16" s="45"/>
      <c r="B16" s="46"/>
      <c r="C16" s="41" t="s">
        <v>7</v>
      </c>
      <c r="D16" s="46">
        <v>3000</v>
      </c>
      <c r="E16" s="46">
        <v>57</v>
      </c>
      <c r="F16" s="46"/>
      <c r="G16" s="48"/>
    </row>
    <row r="17" spans="1:7" x14ac:dyDescent="0.25">
      <c r="A17" s="42"/>
      <c r="B17" s="43"/>
      <c r="C17" s="41" t="s">
        <v>7</v>
      </c>
      <c r="D17" s="43">
        <v>2000</v>
      </c>
      <c r="E17" s="43">
        <v>85</v>
      </c>
      <c r="F17" s="43"/>
      <c r="G17" s="44"/>
    </row>
    <row r="18" spans="1:7" x14ac:dyDescent="0.25">
      <c r="A18" s="45"/>
      <c r="B18" s="43"/>
      <c r="C18" s="41" t="s">
        <v>8</v>
      </c>
      <c r="D18" s="43">
        <v>3500</v>
      </c>
      <c r="E18" s="43"/>
      <c r="F18" s="43"/>
      <c r="G18" s="44"/>
    </row>
    <row r="19" spans="1:7" x14ac:dyDescent="0.25">
      <c r="A19" s="42"/>
      <c r="B19" s="43" t="s">
        <v>77</v>
      </c>
      <c r="C19" s="41" t="s">
        <v>7</v>
      </c>
      <c r="D19" s="43">
        <v>6000</v>
      </c>
      <c r="E19" s="43">
        <v>3</v>
      </c>
      <c r="F19" s="43">
        <v>6000</v>
      </c>
      <c r="G19" s="44">
        <v>5</v>
      </c>
    </row>
    <row r="20" spans="1:7" x14ac:dyDescent="0.25">
      <c r="A20" s="45"/>
      <c r="B20" s="46"/>
      <c r="C20" s="41" t="s">
        <v>7</v>
      </c>
      <c r="D20" s="46">
        <v>5680</v>
      </c>
      <c r="E20" s="46">
        <v>5</v>
      </c>
      <c r="F20" s="46"/>
      <c r="G20" s="48"/>
    </row>
    <row r="21" spans="1:7" x14ac:dyDescent="0.25">
      <c r="A21" s="42"/>
      <c r="B21" s="43"/>
      <c r="C21" s="41" t="s">
        <v>7</v>
      </c>
      <c r="D21" s="43">
        <v>4800</v>
      </c>
      <c r="E21" s="43">
        <v>25</v>
      </c>
      <c r="F21" s="43"/>
      <c r="G21" s="44"/>
    </row>
    <row r="22" spans="1:7" x14ac:dyDescent="0.25">
      <c r="A22" s="45"/>
      <c r="B22" s="46"/>
      <c r="C22" s="41" t="s">
        <v>7</v>
      </c>
      <c r="D22" s="43">
        <v>4000</v>
      </c>
      <c r="E22" s="43">
        <v>50</v>
      </c>
      <c r="F22" s="46"/>
      <c r="G22" s="48"/>
    </row>
    <row r="23" spans="1:7" x14ac:dyDescent="0.25">
      <c r="A23" s="42"/>
      <c r="B23" s="46"/>
      <c r="C23" s="41" t="s">
        <v>8</v>
      </c>
      <c r="D23" s="46">
        <v>4500</v>
      </c>
      <c r="E23" s="46"/>
      <c r="F23" s="43"/>
      <c r="G23" s="44"/>
    </row>
    <row r="24" spans="1:7" x14ac:dyDescent="0.25">
      <c r="A24" s="45"/>
      <c r="B24" s="46" t="s">
        <v>78</v>
      </c>
      <c r="C24" s="41" t="s">
        <v>7</v>
      </c>
      <c r="D24" s="46">
        <v>2200</v>
      </c>
      <c r="E24" s="46">
        <v>50</v>
      </c>
      <c r="F24" s="46"/>
      <c r="G24" s="48"/>
    </row>
    <row r="25" spans="1:7" x14ac:dyDescent="0.25">
      <c r="A25" s="42"/>
      <c r="B25" s="43" t="s">
        <v>79</v>
      </c>
      <c r="C25" s="41" t="s">
        <v>7</v>
      </c>
      <c r="D25" s="43">
        <v>3500</v>
      </c>
      <c r="E25" s="43">
        <v>5</v>
      </c>
      <c r="F25" s="43"/>
      <c r="G25" s="44"/>
    </row>
    <row r="26" spans="1:7" x14ac:dyDescent="0.25">
      <c r="A26" s="45"/>
      <c r="B26" s="43" t="s">
        <v>80</v>
      </c>
      <c r="C26" s="41" t="s">
        <v>7</v>
      </c>
      <c r="D26" s="43">
        <v>3500</v>
      </c>
      <c r="E26" s="43">
        <v>5</v>
      </c>
      <c r="F26" s="46"/>
      <c r="G26" s="48"/>
    </row>
    <row r="27" spans="1:7" x14ac:dyDescent="0.25">
      <c r="A27" s="45"/>
      <c r="B27" s="43" t="s">
        <v>85</v>
      </c>
      <c r="C27" s="41" t="s">
        <v>9</v>
      </c>
      <c r="D27" s="43">
        <v>4000</v>
      </c>
      <c r="E27" s="43"/>
      <c r="F27" s="43"/>
      <c r="G27" s="44"/>
    </row>
    <row r="28" spans="1:7" x14ac:dyDescent="0.25">
      <c r="A28" s="42"/>
      <c r="B28" s="43" t="s">
        <v>84</v>
      </c>
      <c r="C28" s="41" t="s">
        <v>9</v>
      </c>
      <c r="D28" s="43">
        <v>4600</v>
      </c>
      <c r="E28" s="43"/>
      <c r="F28" s="46"/>
      <c r="G28" s="48"/>
    </row>
    <row r="29" spans="1:7" x14ac:dyDescent="0.25">
      <c r="A29" s="45"/>
      <c r="B29" s="43"/>
      <c r="C29" s="41" t="s">
        <v>10</v>
      </c>
      <c r="D29" s="43">
        <v>3700</v>
      </c>
      <c r="E29" s="43">
        <v>90</v>
      </c>
      <c r="F29" s="43"/>
      <c r="G29" s="44"/>
    </row>
    <row r="30" spans="1:7" x14ac:dyDescent="0.25">
      <c r="A30" s="42"/>
      <c r="B30" s="46"/>
      <c r="C30" s="41" t="s">
        <v>10</v>
      </c>
      <c r="D30" s="46">
        <v>3300</v>
      </c>
      <c r="E30" s="46">
        <v>130</v>
      </c>
      <c r="F30" s="46"/>
      <c r="G30" s="48"/>
    </row>
    <row r="31" spans="1:7" x14ac:dyDescent="0.25">
      <c r="A31" s="45"/>
      <c r="B31" s="43" t="s">
        <v>92</v>
      </c>
      <c r="C31" s="41" t="s">
        <v>9</v>
      </c>
      <c r="D31" s="43">
        <v>5000</v>
      </c>
      <c r="E31" s="43"/>
      <c r="F31" s="46"/>
      <c r="G31" s="48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2" zoomScale="90" zoomScaleNormal="90" workbookViewId="0">
      <selection activeCell="G16" sqref="G16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189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74</v>
      </c>
      <c r="B5" s="27">
        <v>6000</v>
      </c>
      <c r="C5" s="27">
        <v>300</v>
      </c>
      <c r="D5" s="27">
        <f>'PR+VS+LN 6000-20FX'!$B5/'PR+VS+LN 6000-20FX'!$C5</f>
        <v>20</v>
      </c>
      <c r="E5" s="28">
        <v>1</v>
      </c>
      <c r="G5" s="72" t="s">
        <v>131</v>
      </c>
      <c r="H5" s="35"/>
    </row>
    <row r="6" spans="1:9" ht="19.5" customHeight="1" x14ac:dyDescent="0.3">
      <c r="A6" s="9" t="s">
        <v>75</v>
      </c>
      <c r="B6" s="10">
        <v>6000</v>
      </c>
      <c r="C6" s="10">
        <v>300</v>
      </c>
      <c r="D6" s="10">
        <f>'PR+VS+LN 6000-20FX'!$B6/'PR+VS+LN 6000-20FX'!$C6</f>
        <v>20</v>
      </c>
      <c r="E6" s="11">
        <v>1</v>
      </c>
      <c r="H6" s="36"/>
    </row>
    <row r="7" spans="1:9" ht="19.5" customHeight="1" x14ac:dyDescent="0.3">
      <c r="A7" s="118" t="s">
        <v>53</v>
      </c>
      <c r="B7" s="118">
        <v>4400</v>
      </c>
      <c r="C7" s="118">
        <v>220</v>
      </c>
      <c r="D7" s="118">
        <v>20</v>
      </c>
      <c r="E7" s="118">
        <v>1</v>
      </c>
      <c r="H7" s="36"/>
    </row>
    <row r="8" spans="1:9" x14ac:dyDescent="0.25">
      <c r="I8" s="34"/>
    </row>
    <row r="9" spans="1:9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9" x14ac:dyDescent="0.25">
      <c r="A10" s="42" t="s">
        <v>33</v>
      </c>
      <c r="B10" s="43" t="s">
        <v>74</v>
      </c>
      <c r="C10" s="41" t="s">
        <v>3</v>
      </c>
      <c r="D10" s="43">
        <v>5880</v>
      </c>
      <c r="E10" s="43">
        <v>95</v>
      </c>
      <c r="F10" s="43">
        <v>5700</v>
      </c>
      <c r="G10" s="44">
        <v>95</v>
      </c>
    </row>
    <row r="11" spans="1:9" x14ac:dyDescent="0.25">
      <c r="A11" s="45"/>
      <c r="B11" s="46"/>
      <c r="C11" s="47" t="s">
        <v>9</v>
      </c>
      <c r="D11" s="46">
        <v>6420</v>
      </c>
      <c r="E11" s="46"/>
      <c r="F11" s="46"/>
      <c r="G11" s="48"/>
    </row>
    <row r="12" spans="1:9" x14ac:dyDescent="0.25">
      <c r="A12" s="42"/>
      <c r="B12" s="43" t="s">
        <v>75</v>
      </c>
      <c r="C12" s="41" t="s">
        <v>3</v>
      </c>
      <c r="D12" s="43">
        <v>5880</v>
      </c>
      <c r="E12" s="43">
        <v>95</v>
      </c>
      <c r="F12" s="43">
        <v>5700</v>
      </c>
      <c r="G12" s="44">
        <v>95</v>
      </c>
    </row>
    <row r="13" spans="1:9" x14ac:dyDescent="0.25">
      <c r="A13" s="45"/>
      <c r="B13" s="46"/>
      <c r="C13" s="47" t="s">
        <v>9</v>
      </c>
      <c r="D13" s="46">
        <v>6420</v>
      </c>
      <c r="E13" s="46"/>
      <c r="F13" s="46"/>
      <c r="G13" s="48"/>
    </row>
    <row r="14" spans="1:9" x14ac:dyDescent="0.25">
      <c r="A14" s="42"/>
      <c r="B14" s="43" t="s">
        <v>53</v>
      </c>
      <c r="C14" s="41" t="s">
        <v>3</v>
      </c>
      <c r="D14" s="43">
        <v>4268</v>
      </c>
      <c r="E14" s="43">
        <v>95</v>
      </c>
      <c r="F14" s="43">
        <v>4180</v>
      </c>
      <c r="G14" s="44">
        <v>95</v>
      </c>
    </row>
    <row r="15" spans="1:9" x14ac:dyDescent="0.25">
      <c r="A15" s="42" t="s">
        <v>37</v>
      </c>
      <c r="B15" s="43" t="s">
        <v>76</v>
      </c>
      <c r="C15" s="41" t="s">
        <v>7</v>
      </c>
      <c r="D15" s="43">
        <v>6000</v>
      </c>
      <c r="E15" s="43">
        <v>1</v>
      </c>
      <c r="F15" s="43">
        <v>6000</v>
      </c>
      <c r="G15" s="44">
        <v>3</v>
      </c>
    </row>
    <row r="16" spans="1:9" x14ac:dyDescent="0.25">
      <c r="A16" s="45"/>
      <c r="B16" s="46"/>
      <c r="C16" s="41" t="s">
        <v>7</v>
      </c>
      <c r="D16" s="46">
        <v>5000</v>
      </c>
      <c r="E16" s="46">
        <v>22</v>
      </c>
      <c r="F16" s="46"/>
      <c r="G16" s="48"/>
    </row>
    <row r="17" spans="1:7" x14ac:dyDescent="0.25">
      <c r="A17" s="42"/>
      <c r="B17" s="43"/>
      <c r="C17" s="41" t="s">
        <v>7</v>
      </c>
      <c r="D17" s="43">
        <v>4000</v>
      </c>
      <c r="E17" s="43">
        <v>38</v>
      </c>
      <c r="F17" s="43"/>
      <c r="G17" s="44"/>
    </row>
    <row r="18" spans="1:7" x14ac:dyDescent="0.25">
      <c r="A18" s="45"/>
      <c r="B18" s="46"/>
      <c r="C18" s="41" t="s">
        <v>7</v>
      </c>
      <c r="D18" s="46">
        <v>3000</v>
      </c>
      <c r="E18" s="46">
        <v>57</v>
      </c>
      <c r="F18" s="46"/>
      <c r="G18" s="48"/>
    </row>
    <row r="19" spans="1:7" x14ac:dyDescent="0.25">
      <c r="A19" s="42"/>
      <c r="B19" s="43"/>
      <c r="C19" s="41" t="s">
        <v>7</v>
      </c>
      <c r="D19" s="43">
        <v>2000</v>
      </c>
      <c r="E19" s="43">
        <v>85</v>
      </c>
      <c r="F19" s="43"/>
      <c r="G19" s="44"/>
    </row>
    <row r="20" spans="1:7" x14ac:dyDescent="0.25">
      <c r="A20" s="45"/>
      <c r="B20" s="43"/>
      <c r="C20" s="41" t="s">
        <v>8</v>
      </c>
      <c r="D20" s="43">
        <v>3500</v>
      </c>
      <c r="E20" s="43"/>
      <c r="F20" s="43"/>
      <c r="G20" s="44"/>
    </row>
    <row r="21" spans="1:7" x14ac:dyDescent="0.25">
      <c r="A21" s="42"/>
      <c r="B21" s="43" t="s">
        <v>77</v>
      </c>
      <c r="C21" s="41" t="s">
        <v>7</v>
      </c>
      <c r="D21" s="43">
        <v>6000</v>
      </c>
      <c r="E21" s="43">
        <v>3</v>
      </c>
      <c r="F21" s="43">
        <v>6000</v>
      </c>
      <c r="G21" s="44">
        <v>5</v>
      </c>
    </row>
    <row r="22" spans="1:7" x14ac:dyDescent="0.25">
      <c r="A22" s="45"/>
      <c r="B22" s="46"/>
      <c r="C22" s="41" t="s">
        <v>7</v>
      </c>
      <c r="D22" s="46">
        <v>5680</v>
      </c>
      <c r="E22" s="46">
        <v>5</v>
      </c>
      <c r="F22" s="46"/>
      <c r="G22" s="48"/>
    </row>
    <row r="23" spans="1:7" x14ac:dyDescent="0.25">
      <c r="A23" s="42"/>
      <c r="B23" s="43"/>
      <c r="C23" s="41" t="s">
        <v>7</v>
      </c>
      <c r="D23" s="43">
        <v>4800</v>
      </c>
      <c r="E23" s="43">
        <v>25</v>
      </c>
      <c r="F23" s="43"/>
      <c r="G23" s="44"/>
    </row>
    <row r="24" spans="1:7" x14ac:dyDescent="0.25">
      <c r="A24" s="45"/>
      <c r="B24" s="46"/>
      <c r="C24" s="41" t="s">
        <v>7</v>
      </c>
      <c r="D24" s="43">
        <v>4000</v>
      </c>
      <c r="E24" s="43">
        <v>50</v>
      </c>
      <c r="F24" s="46"/>
      <c r="G24" s="48"/>
    </row>
    <row r="25" spans="1:7" x14ac:dyDescent="0.25">
      <c r="A25" s="42"/>
      <c r="B25" s="46"/>
      <c r="C25" s="41" t="s">
        <v>8</v>
      </c>
      <c r="D25" s="46">
        <v>4500</v>
      </c>
      <c r="E25" s="46"/>
      <c r="F25" s="43"/>
      <c r="G25" s="44"/>
    </row>
    <row r="26" spans="1:7" x14ac:dyDescent="0.25">
      <c r="A26" s="45"/>
      <c r="B26" s="46" t="s">
        <v>78</v>
      </c>
      <c r="C26" s="41" t="s">
        <v>7</v>
      </c>
      <c r="D26" s="46">
        <v>2200</v>
      </c>
      <c r="E26" s="46">
        <v>50</v>
      </c>
      <c r="F26" s="46"/>
      <c r="G26" s="48"/>
    </row>
    <row r="27" spans="1:7" x14ac:dyDescent="0.25">
      <c r="A27" s="42"/>
      <c r="B27" s="43" t="s">
        <v>79</v>
      </c>
      <c r="C27" s="41" t="s">
        <v>7</v>
      </c>
      <c r="D27" s="43">
        <v>3500</v>
      </c>
      <c r="E27" s="43">
        <v>5</v>
      </c>
      <c r="F27" s="43"/>
      <c r="G27" s="44"/>
    </row>
    <row r="28" spans="1:7" x14ac:dyDescent="0.25">
      <c r="A28" s="45"/>
      <c r="B28" s="43" t="s">
        <v>80</v>
      </c>
      <c r="C28" s="41" t="s">
        <v>7</v>
      </c>
      <c r="D28" s="43">
        <v>3500</v>
      </c>
      <c r="E28" s="43">
        <v>5</v>
      </c>
      <c r="F28" s="46"/>
      <c r="G28" s="48"/>
    </row>
    <row r="29" spans="1:7" x14ac:dyDescent="0.25">
      <c r="A29" s="45"/>
      <c r="B29" s="43" t="s">
        <v>85</v>
      </c>
      <c r="C29" s="41" t="s">
        <v>9</v>
      </c>
      <c r="D29" s="43">
        <v>4000</v>
      </c>
      <c r="E29" s="43"/>
      <c r="F29" s="43"/>
      <c r="G29" s="44"/>
    </row>
    <row r="30" spans="1:7" x14ac:dyDescent="0.25">
      <c r="A30" s="42"/>
      <c r="B30" s="43" t="s">
        <v>84</v>
      </c>
      <c r="C30" s="41" t="s">
        <v>9</v>
      </c>
      <c r="D30" s="43">
        <v>4600</v>
      </c>
      <c r="E30" s="43"/>
      <c r="F30" s="46"/>
      <c r="G30" s="48"/>
    </row>
    <row r="31" spans="1:7" x14ac:dyDescent="0.25">
      <c r="A31" s="45"/>
      <c r="B31" s="43"/>
      <c r="C31" s="41" t="s">
        <v>10</v>
      </c>
      <c r="D31" s="43">
        <v>3700</v>
      </c>
      <c r="E31" s="43">
        <v>90</v>
      </c>
      <c r="F31" s="43"/>
      <c r="G31" s="44"/>
    </row>
    <row r="32" spans="1:7" x14ac:dyDescent="0.25">
      <c r="A32" s="42"/>
      <c r="B32" s="46"/>
      <c r="C32" s="41" t="s">
        <v>10</v>
      </c>
      <c r="D32" s="46">
        <v>3300</v>
      </c>
      <c r="E32" s="46">
        <v>130</v>
      </c>
      <c r="F32" s="46"/>
      <c r="G32" s="48"/>
    </row>
    <row r="33" spans="1:7" x14ac:dyDescent="0.25">
      <c r="A33" s="45"/>
      <c r="B33" s="43" t="s">
        <v>92</v>
      </c>
      <c r="C33" s="41" t="s">
        <v>9</v>
      </c>
      <c r="D33" s="43">
        <v>5000</v>
      </c>
      <c r="E33" s="43"/>
      <c r="F33" s="46"/>
      <c r="G33" s="48"/>
    </row>
    <row r="34" spans="1:7" x14ac:dyDescent="0.25">
      <c r="A34" s="42"/>
      <c r="B34" s="46"/>
      <c r="C34" s="41"/>
      <c r="D34" s="46"/>
      <c r="E34" s="46"/>
      <c r="F34" s="46"/>
      <c r="G34" s="44"/>
    </row>
    <row r="35" spans="1:7" x14ac:dyDescent="0.25">
      <c r="A35" s="45"/>
      <c r="B35" s="43"/>
      <c r="C35" s="41"/>
      <c r="D35" s="43"/>
      <c r="E35" s="43"/>
      <c r="F35" s="43"/>
      <c r="G35" s="48"/>
    </row>
    <row r="36" spans="1:7" x14ac:dyDescent="0.25">
      <c r="A36" s="42"/>
      <c r="B36" s="43"/>
      <c r="C36" s="41"/>
      <c r="D36" s="43"/>
      <c r="E36" s="43"/>
      <c r="F36" s="46"/>
      <c r="G36" s="44"/>
    </row>
    <row r="37" spans="1:7" x14ac:dyDescent="0.25">
      <c r="A37" s="45"/>
      <c r="B37" s="43"/>
      <c r="C37" s="41"/>
      <c r="D37" s="43"/>
      <c r="E37" s="43"/>
      <c r="F37" s="43"/>
      <c r="G37" s="48"/>
    </row>
    <row r="38" spans="1:7" x14ac:dyDescent="0.25">
      <c r="A38" s="42"/>
      <c r="B38" s="43"/>
      <c r="C38" s="41"/>
      <c r="D38" s="43"/>
      <c r="E38" s="43"/>
      <c r="F38" s="46"/>
      <c r="G38" s="44"/>
    </row>
    <row r="39" spans="1:7" x14ac:dyDescent="0.25">
      <c r="A39" s="45"/>
      <c r="B39" s="43"/>
      <c r="C39" s="41"/>
      <c r="D39" s="43"/>
      <c r="E39" s="43"/>
      <c r="F39" s="46"/>
      <c r="G39" s="48"/>
    </row>
    <row r="40" spans="1:7" x14ac:dyDescent="0.25">
      <c r="A40" s="42"/>
      <c r="B40" s="46"/>
      <c r="C40" s="41"/>
      <c r="D40" s="46"/>
      <c r="E40" s="46"/>
      <c r="F40" s="43"/>
      <c r="G40" s="44"/>
    </row>
    <row r="41" spans="1:7" x14ac:dyDescent="0.25">
      <c r="A41" s="45"/>
      <c r="B41" s="43"/>
      <c r="C41" s="41"/>
      <c r="D41" s="43"/>
      <c r="E41" s="43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2"/>
      <c r="B44" s="43"/>
      <c r="C44" s="41"/>
      <c r="D44" s="43"/>
      <c r="E44" s="43"/>
      <c r="F44" s="43"/>
      <c r="G44" s="44"/>
    </row>
    <row r="45" spans="1:7" x14ac:dyDescent="0.25">
      <c r="A45" s="45"/>
      <c r="B45" s="46"/>
      <c r="C45" s="47"/>
      <c r="D45" s="46"/>
      <c r="E45" s="46"/>
      <c r="F45" s="46"/>
      <c r="G45" s="48"/>
    </row>
    <row r="46" spans="1:7" x14ac:dyDescent="0.25">
      <c r="A46" s="5" t="s">
        <v>41</v>
      </c>
      <c r="B46" s="6"/>
      <c r="C46" s="7"/>
      <c r="D46" s="6"/>
      <c r="E46" s="43"/>
      <c r="F46" s="43"/>
      <c r="G46" s="44"/>
    </row>
    <row r="47" spans="1:7" x14ac:dyDescent="0.25">
      <c r="A47" s="5"/>
      <c r="B47" s="6"/>
      <c r="C47" s="7"/>
      <c r="D47" s="6"/>
      <c r="E47" s="6"/>
      <c r="F47" s="6"/>
      <c r="G47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4" zoomScale="80" zoomScaleNormal="80" workbookViewId="0">
      <selection activeCell="I13" sqref="I13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83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74</v>
      </c>
      <c r="B5" s="27">
        <v>7020</v>
      </c>
      <c r="C5" s="27">
        <v>260</v>
      </c>
      <c r="D5" s="27">
        <f>'PR+VS+LN 7020-27FX'!$B5/'PR+VS+LN 7020-27FX'!$C5</f>
        <v>27</v>
      </c>
      <c r="E5" s="28">
        <v>1</v>
      </c>
      <c r="G5" s="72" t="s">
        <v>122</v>
      </c>
      <c r="H5" s="35"/>
    </row>
    <row r="6" spans="1:9" ht="19.5" customHeight="1" x14ac:dyDescent="0.3">
      <c r="A6" s="9" t="s">
        <v>75</v>
      </c>
      <c r="B6" s="10">
        <v>7020</v>
      </c>
      <c r="C6" s="10">
        <v>260</v>
      </c>
      <c r="D6" s="54">
        <f>'PR+VS+LN 7020-27FX'!$B6/'PR+VS+LN 7020-27FX'!$C6</f>
        <v>27</v>
      </c>
      <c r="E6" s="11">
        <v>1</v>
      </c>
      <c r="H6" s="36"/>
    </row>
    <row r="7" spans="1:9" x14ac:dyDescent="0.25">
      <c r="A7" s="26" t="s">
        <v>53</v>
      </c>
      <c r="B7" s="27">
        <v>4860</v>
      </c>
      <c r="C7" s="27">
        <v>180</v>
      </c>
      <c r="D7" s="27">
        <f>'PR+VS+LN 7020-27FX'!$B7/'PR+VS+LN 7020-27FX'!$C7</f>
        <v>27</v>
      </c>
      <c r="E7" s="28">
        <v>1</v>
      </c>
      <c r="I7" s="34"/>
    </row>
    <row r="9" spans="1:9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9" x14ac:dyDescent="0.25">
      <c r="A10" s="42" t="s">
        <v>33</v>
      </c>
      <c r="B10" s="43" t="s">
        <v>74</v>
      </c>
      <c r="C10" s="41" t="s">
        <v>3</v>
      </c>
      <c r="D10" s="43">
        <v>6880</v>
      </c>
      <c r="E10" s="43">
        <v>95</v>
      </c>
      <c r="F10" s="43"/>
      <c r="G10" s="44"/>
    </row>
    <row r="11" spans="1:9" x14ac:dyDescent="0.25">
      <c r="A11" s="45"/>
      <c r="B11" s="46"/>
      <c r="C11" s="47" t="s">
        <v>9</v>
      </c>
      <c r="D11" s="46">
        <v>7511</v>
      </c>
      <c r="E11" s="46"/>
      <c r="F11" s="46"/>
      <c r="G11" s="48"/>
    </row>
    <row r="12" spans="1:9" x14ac:dyDescent="0.25">
      <c r="A12" s="42"/>
      <c r="B12" s="43" t="s">
        <v>75</v>
      </c>
      <c r="C12" s="41" t="s">
        <v>3</v>
      </c>
      <c r="D12" s="43">
        <v>6880</v>
      </c>
      <c r="E12" s="43">
        <v>95</v>
      </c>
      <c r="F12" s="43"/>
      <c r="G12" s="44"/>
    </row>
    <row r="13" spans="1:9" x14ac:dyDescent="0.25">
      <c r="A13" s="45"/>
      <c r="B13" s="46"/>
      <c r="C13" s="47" t="s">
        <v>9</v>
      </c>
      <c r="D13" s="46">
        <v>7511</v>
      </c>
      <c r="E13" s="46"/>
      <c r="F13" s="46"/>
      <c r="G13" s="48"/>
    </row>
    <row r="14" spans="1:9" x14ac:dyDescent="0.25">
      <c r="A14" s="42"/>
      <c r="B14" s="43" t="s">
        <v>53</v>
      </c>
      <c r="C14" s="41" t="s">
        <v>3</v>
      </c>
      <c r="D14" s="43">
        <v>4763</v>
      </c>
      <c r="E14" s="43">
        <v>95</v>
      </c>
      <c r="F14" s="43"/>
      <c r="G14" s="44"/>
    </row>
    <row r="15" spans="1:9" x14ac:dyDescent="0.25">
      <c r="A15" s="42" t="s">
        <v>37</v>
      </c>
      <c r="B15" s="43" t="s">
        <v>76</v>
      </c>
      <c r="C15" s="41" t="s">
        <v>7</v>
      </c>
      <c r="D15" s="43">
        <v>7000</v>
      </c>
      <c r="E15" s="43">
        <v>10</v>
      </c>
      <c r="F15" s="43">
        <v>7000</v>
      </c>
      <c r="G15" s="44">
        <v>20</v>
      </c>
    </row>
    <row r="16" spans="1:9" x14ac:dyDescent="0.25">
      <c r="A16" s="45"/>
      <c r="B16" s="46"/>
      <c r="C16" s="47" t="s">
        <v>7</v>
      </c>
      <c r="D16" s="46">
        <v>6500</v>
      </c>
      <c r="E16" s="46">
        <v>25</v>
      </c>
      <c r="F16" s="46"/>
      <c r="G16" s="48"/>
    </row>
    <row r="17" spans="1:7" x14ac:dyDescent="0.25">
      <c r="A17" s="42"/>
      <c r="B17" s="43"/>
      <c r="C17" s="41" t="s">
        <v>7</v>
      </c>
      <c r="D17" s="43">
        <v>6000</v>
      </c>
      <c r="E17" s="43">
        <v>35</v>
      </c>
      <c r="F17" s="43"/>
      <c r="G17" s="44"/>
    </row>
    <row r="18" spans="1:7" x14ac:dyDescent="0.25">
      <c r="A18" s="45"/>
      <c r="B18" s="46"/>
      <c r="C18" s="47" t="s">
        <v>7</v>
      </c>
      <c r="D18" s="46">
        <v>5300</v>
      </c>
      <c r="E18" s="46">
        <v>35</v>
      </c>
      <c r="F18" s="46"/>
      <c r="G18" s="48"/>
    </row>
    <row r="19" spans="1:7" x14ac:dyDescent="0.25">
      <c r="A19" s="42"/>
      <c r="B19" s="43"/>
      <c r="C19" s="41" t="s">
        <v>7</v>
      </c>
      <c r="D19" s="43">
        <v>4500</v>
      </c>
      <c r="E19" s="43">
        <v>50</v>
      </c>
      <c r="F19" s="43"/>
      <c r="G19" s="44"/>
    </row>
    <row r="20" spans="1:7" x14ac:dyDescent="0.25">
      <c r="A20" s="45"/>
      <c r="B20" s="43"/>
      <c r="C20" s="41" t="s">
        <v>7</v>
      </c>
      <c r="D20" s="43">
        <v>4000</v>
      </c>
      <c r="E20" s="43">
        <v>40</v>
      </c>
      <c r="F20" s="43"/>
      <c r="G20" s="44"/>
    </row>
    <row r="21" spans="1:7" x14ac:dyDescent="0.25">
      <c r="A21" s="42"/>
      <c r="B21" s="43" t="s">
        <v>77</v>
      </c>
      <c r="C21" s="41" t="s">
        <v>7</v>
      </c>
      <c r="D21" s="43">
        <v>7000</v>
      </c>
      <c r="E21" s="43">
        <v>10</v>
      </c>
      <c r="F21" s="43">
        <v>7000</v>
      </c>
      <c r="G21" s="44">
        <v>20</v>
      </c>
    </row>
    <row r="22" spans="1:7" x14ac:dyDescent="0.25">
      <c r="A22" s="45"/>
      <c r="B22" s="46"/>
      <c r="C22" s="47" t="s">
        <v>7</v>
      </c>
      <c r="D22" s="46">
        <v>6000</v>
      </c>
      <c r="E22" s="46">
        <v>30</v>
      </c>
      <c r="F22" s="46"/>
      <c r="G22" s="48"/>
    </row>
    <row r="23" spans="1:7" x14ac:dyDescent="0.25">
      <c r="A23" s="42"/>
      <c r="B23" s="43"/>
      <c r="C23" s="41" t="s">
        <v>7</v>
      </c>
      <c r="D23" s="43">
        <v>4500</v>
      </c>
      <c r="E23" s="43">
        <v>50</v>
      </c>
      <c r="F23" s="43"/>
      <c r="G23" s="44"/>
    </row>
    <row r="24" spans="1:7" x14ac:dyDescent="0.25">
      <c r="A24" s="45"/>
      <c r="B24" s="46" t="s">
        <v>84</v>
      </c>
      <c r="C24" s="47" t="s">
        <v>10</v>
      </c>
      <c r="D24" s="46">
        <v>5000</v>
      </c>
      <c r="E24" s="46">
        <v>1</v>
      </c>
      <c r="F24" s="46">
        <v>5000</v>
      </c>
      <c r="G24" s="48">
        <v>100</v>
      </c>
    </row>
    <row r="25" spans="1:7" x14ac:dyDescent="0.25">
      <c r="A25" s="42"/>
      <c r="B25" s="43"/>
      <c r="C25" s="47" t="s">
        <v>10</v>
      </c>
      <c r="D25" s="43">
        <v>4500</v>
      </c>
      <c r="E25" s="43">
        <v>150</v>
      </c>
      <c r="F25" s="43">
        <v>4500</v>
      </c>
      <c r="G25" s="44">
        <v>250</v>
      </c>
    </row>
    <row r="26" spans="1:7" x14ac:dyDescent="0.25">
      <c r="A26" s="45"/>
      <c r="B26" s="46"/>
      <c r="C26" s="47" t="s">
        <v>10</v>
      </c>
      <c r="D26" s="46">
        <v>4000</v>
      </c>
      <c r="E26" s="46">
        <v>350</v>
      </c>
      <c r="F26" s="46"/>
      <c r="G26" s="48"/>
    </row>
    <row r="27" spans="1:7" x14ac:dyDescent="0.25">
      <c r="A27" s="42"/>
      <c r="B27" s="43"/>
      <c r="C27" s="47" t="s">
        <v>10</v>
      </c>
      <c r="D27" s="43">
        <v>3900</v>
      </c>
      <c r="E27" s="43">
        <v>195</v>
      </c>
      <c r="F27" s="43"/>
      <c r="G27" s="44"/>
    </row>
    <row r="28" spans="1:7" x14ac:dyDescent="0.25">
      <c r="A28" s="45"/>
      <c r="B28" s="46"/>
      <c r="C28" s="47" t="s">
        <v>10</v>
      </c>
      <c r="D28" s="46">
        <v>3000</v>
      </c>
      <c r="E28" s="46">
        <v>500</v>
      </c>
      <c r="F28" s="46"/>
      <c r="G28" s="48"/>
    </row>
    <row r="29" spans="1:7" x14ac:dyDescent="0.25">
      <c r="A29" s="45"/>
      <c r="B29" s="46" t="s">
        <v>78</v>
      </c>
      <c r="C29" s="47" t="s">
        <v>7</v>
      </c>
      <c r="D29" s="46">
        <v>4400</v>
      </c>
      <c r="E29" s="46">
        <v>50</v>
      </c>
      <c r="F29" s="43"/>
      <c r="G29" s="44"/>
    </row>
    <row r="30" spans="1:7" x14ac:dyDescent="0.25">
      <c r="A30" s="42"/>
      <c r="B30" s="46"/>
      <c r="C30" s="47" t="s">
        <v>8</v>
      </c>
      <c r="D30" s="46">
        <v>5000</v>
      </c>
      <c r="E30" s="46"/>
      <c r="F30" s="46"/>
      <c r="G30" s="48"/>
    </row>
    <row r="31" spans="1:7" x14ac:dyDescent="0.25">
      <c r="A31" s="45"/>
      <c r="B31" s="43" t="s">
        <v>79</v>
      </c>
      <c r="C31" s="41" t="s">
        <v>7</v>
      </c>
      <c r="D31" s="43">
        <v>5000</v>
      </c>
      <c r="E31" s="43">
        <v>5</v>
      </c>
      <c r="F31" s="46">
        <v>5000</v>
      </c>
      <c r="G31" s="48">
        <v>10</v>
      </c>
    </row>
    <row r="32" spans="1:7" x14ac:dyDescent="0.25">
      <c r="A32" s="42"/>
      <c r="B32" s="43" t="s">
        <v>80</v>
      </c>
      <c r="C32" s="41" t="s">
        <v>7</v>
      </c>
      <c r="D32" s="43">
        <v>5000</v>
      </c>
      <c r="E32" s="43">
        <v>5</v>
      </c>
      <c r="F32" s="43">
        <v>5000</v>
      </c>
      <c r="G32" s="44">
        <v>10</v>
      </c>
    </row>
    <row r="33" spans="1:7" x14ac:dyDescent="0.25">
      <c r="A33" s="45"/>
      <c r="B33" s="46" t="s">
        <v>82</v>
      </c>
      <c r="C33" s="47" t="s">
        <v>10</v>
      </c>
      <c r="D33" s="46">
        <v>3000</v>
      </c>
      <c r="E33" s="46">
        <v>1</v>
      </c>
      <c r="F33" s="46"/>
      <c r="G33" s="48"/>
    </row>
    <row r="34" spans="1:7" x14ac:dyDescent="0.25">
      <c r="A34" s="42"/>
      <c r="B34" s="46" t="s">
        <v>85</v>
      </c>
      <c r="C34" s="47" t="s">
        <v>9</v>
      </c>
      <c r="D34" s="46">
        <v>5000</v>
      </c>
      <c r="E34" s="46"/>
      <c r="F34" s="46"/>
      <c r="G34" s="48"/>
    </row>
    <row r="35" spans="1:7" x14ac:dyDescent="0.25">
      <c r="A35" s="45"/>
      <c r="B35" s="46"/>
      <c r="C35" s="47"/>
      <c r="D35" s="46"/>
      <c r="E35" s="46"/>
      <c r="F35" s="43"/>
      <c r="G35" s="44"/>
    </row>
    <row r="36" spans="1:7" x14ac:dyDescent="0.25">
      <c r="A36" s="42"/>
      <c r="B36" s="46"/>
      <c r="C36" s="47"/>
      <c r="D36" s="46"/>
      <c r="E36" s="46"/>
      <c r="F36" s="46"/>
      <c r="G36" s="48"/>
    </row>
    <row r="37" spans="1:7" x14ac:dyDescent="0.25">
      <c r="A37" s="45"/>
      <c r="B37" s="43"/>
      <c r="C37" s="41"/>
      <c r="D37" s="43"/>
      <c r="E37" s="43"/>
      <c r="F37" s="43"/>
      <c r="G37" s="44"/>
    </row>
    <row r="38" spans="1:7" x14ac:dyDescent="0.25">
      <c r="A38" s="42"/>
      <c r="B38" s="46"/>
      <c r="C38" s="47"/>
      <c r="D38" s="46"/>
      <c r="E38" s="46"/>
      <c r="F38" s="46"/>
      <c r="G38" s="48"/>
    </row>
    <row r="39" spans="1:7" x14ac:dyDescent="0.25">
      <c r="A39" s="45"/>
      <c r="B39" s="43"/>
      <c r="C39" s="41"/>
      <c r="D39" s="43"/>
      <c r="E39" s="43"/>
      <c r="F39" s="43"/>
      <c r="G39" s="44"/>
    </row>
    <row r="40" spans="1:7" x14ac:dyDescent="0.25">
      <c r="A40" s="42"/>
      <c r="B40" s="46"/>
      <c r="C40" s="47"/>
      <c r="D40" s="46"/>
      <c r="E40" s="46"/>
      <c r="F40" s="46"/>
      <c r="G40" s="48"/>
    </row>
    <row r="41" spans="1:7" x14ac:dyDescent="0.25">
      <c r="A41" s="45"/>
      <c r="B41" s="46"/>
      <c r="C41" s="47"/>
      <c r="D41" s="46"/>
      <c r="E41" s="46"/>
      <c r="F41" s="43"/>
      <c r="G41" s="44"/>
    </row>
    <row r="42" spans="1:7" x14ac:dyDescent="0.25">
      <c r="A42" s="42"/>
      <c r="B42" s="46"/>
      <c r="C42" s="47"/>
      <c r="D42" s="46"/>
      <c r="E42" s="46"/>
      <c r="F42" s="46"/>
      <c r="G42" s="48"/>
    </row>
    <row r="43" spans="1:7" x14ac:dyDescent="0.25">
      <c r="A43" s="45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4" zoomScale="80" zoomScaleNormal="80" workbookViewId="0">
      <selection activeCell="I20" sqref="I2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86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74</v>
      </c>
      <c r="B5" s="27">
        <v>7020</v>
      </c>
      <c r="C5" s="27">
        <v>260</v>
      </c>
      <c r="D5" s="27">
        <f>'PR+VS+LN+LNpos 7020-27FX'!$B5/'PR+VS+LN+LNpos 7020-27FX'!$C5</f>
        <v>27</v>
      </c>
      <c r="E5" s="28">
        <v>1</v>
      </c>
      <c r="G5" s="72" t="s">
        <v>122</v>
      </c>
      <c r="H5" s="35"/>
    </row>
    <row r="6" spans="1:9" ht="19.5" customHeight="1" x14ac:dyDescent="0.3">
      <c r="A6" s="9" t="s">
        <v>75</v>
      </c>
      <c r="B6" s="10">
        <v>7020</v>
      </c>
      <c r="C6" s="10">
        <v>260</v>
      </c>
      <c r="D6" s="54">
        <f>'PR+VS+LN+LNpos 7020-27FX'!$B6/'PR+VS+LN+LNpos 7020-27FX'!$C6</f>
        <v>27</v>
      </c>
      <c r="E6" s="11">
        <v>1</v>
      </c>
      <c r="H6" s="36"/>
    </row>
    <row r="7" spans="1:9" x14ac:dyDescent="0.25">
      <c r="A7" s="26" t="s">
        <v>87</v>
      </c>
      <c r="B7" s="27">
        <v>5994</v>
      </c>
      <c r="C7" s="27">
        <v>222</v>
      </c>
      <c r="D7" s="27">
        <f>'PR+VS+LN+LNpos 7020-27FX'!$B7/'PR+VS+LN+LNpos 7020-27FX'!$C7</f>
        <v>27</v>
      </c>
      <c r="E7" s="28">
        <v>1</v>
      </c>
      <c r="I7" s="34"/>
    </row>
    <row r="8" spans="1:9" x14ac:dyDescent="0.25">
      <c r="A8" t="s">
        <v>53</v>
      </c>
      <c r="B8">
        <v>4860</v>
      </c>
      <c r="C8">
        <v>180</v>
      </c>
      <c r="D8">
        <f>B8/C8</f>
        <v>27</v>
      </c>
      <c r="E8">
        <v>1</v>
      </c>
    </row>
    <row r="9" spans="1:9" x14ac:dyDescent="0.25">
      <c r="A9" s="62"/>
      <c r="B9" s="63"/>
      <c r="C9" s="63"/>
      <c r="D9" s="63"/>
      <c r="E9" s="63"/>
      <c r="F9" s="63"/>
      <c r="G9" s="64"/>
    </row>
    <row r="10" spans="1:9" x14ac:dyDescent="0.25">
      <c r="A10" s="29" t="s">
        <v>27</v>
      </c>
      <c r="B10" s="30" t="s">
        <v>20</v>
      </c>
      <c r="C10" s="30" t="s">
        <v>28</v>
      </c>
      <c r="D10" s="30" t="s">
        <v>29</v>
      </c>
      <c r="E10" s="30" t="s">
        <v>30</v>
      </c>
      <c r="F10" s="30" t="s">
        <v>31</v>
      </c>
      <c r="G10" s="31" t="s">
        <v>32</v>
      </c>
    </row>
    <row r="11" spans="1:9" x14ac:dyDescent="0.25">
      <c r="A11" s="42" t="s">
        <v>33</v>
      </c>
      <c r="B11" s="43" t="s">
        <v>74</v>
      </c>
      <c r="C11" s="41" t="s">
        <v>3</v>
      </c>
      <c r="D11" s="43">
        <v>6880</v>
      </c>
      <c r="E11" s="43">
        <v>95</v>
      </c>
      <c r="F11" s="43"/>
      <c r="G11" s="44"/>
    </row>
    <row r="12" spans="1:9" x14ac:dyDescent="0.25">
      <c r="A12" s="45"/>
      <c r="B12" s="46"/>
      <c r="C12" s="47" t="s">
        <v>9</v>
      </c>
      <c r="D12" s="46">
        <v>7511</v>
      </c>
      <c r="E12" s="46"/>
      <c r="F12" s="46"/>
      <c r="G12" s="48"/>
    </row>
    <row r="13" spans="1:9" x14ac:dyDescent="0.25">
      <c r="A13" s="42"/>
      <c r="B13" s="43" t="s">
        <v>75</v>
      </c>
      <c r="C13" s="41" t="s">
        <v>3</v>
      </c>
      <c r="D13" s="43">
        <v>6880</v>
      </c>
      <c r="E13" s="43">
        <v>95</v>
      </c>
      <c r="F13" s="43"/>
      <c r="G13" s="44"/>
    </row>
    <row r="14" spans="1:9" x14ac:dyDescent="0.25">
      <c r="A14" s="45"/>
      <c r="B14" s="46"/>
      <c r="C14" s="47" t="s">
        <v>9</v>
      </c>
      <c r="D14" s="46">
        <v>7511</v>
      </c>
      <c r="E14" s="46"/>
      <c r="F14" s="46"/>
      <c r="G14" s="48"/>
    </row>
    <row r="15" spans="1:9" x14ac:dyDescent="0.25">
      <c r="A15" s="42"/>
      <c r="B15" s="43" t="s">
        <v>87</v>
      </c>
      <c r="C15" s="41" t="s">
        <v>3</v>
      </c>
      <c r="D15" s="43">
        <v>5874</v>
      </c>
      <c r="E15" s="43">
        <v>95</v>
      </c>
      <c r="F15" s="43"/>
      <c r="G15" s="44"/>
    </row>
    <row r="16" spans="1:9" x14ac:dyDescent="0.25">
      <c r="A16" s="42"/>
      <c r="B16" s="43" t="s">
        <v>53</v>
      </c>
      <c r="C16" s="41" t="s">
        <v>3</v>
      </c>
      <c r="D16" s="43">
        <v>4763</v>
      </c>
      <c r="E16" s="43">
        <v>95</v>
      </c>
      <c r="F16" s="43"/>
      <c r="G16" s="44"/>
    </row>
    <row r="17" spans="1:7" x14ac:dyDescent="0.25">
      <c r="A17" s="42" t="s">
        <v>37</v>
      </c>
      <c r="B17" s="43" t="s">
        <v>76</v>
      </c>
      <c r="C17" s="41" t="s">
        <v>7</v>
      </c>
      <c r="D17" s="43">
        <v>7000</v>
      </c>
      <c r="E17" s="43">
        <v>10</v>
      </c>
      <c r="F17" s="43">
        <v>7000</v>
      </c>
      <c r="G17" s="44">
        <v>20</v>
      </c>
    </row>
    <row r="18" spans="1:7" x14ac:dyDescent="0.25">
      <c r="A18" s="45"/>
      <c r="B18" s="46"/>
      <c r="C18" s="47" t="s">
        <v>7</v>
      </c>
      <c r="D18" s="46">
        <v>6500</v>
      </c>
      <c r="E18" s="46">
        <v>25</v>
      </c>
      <c r="F18" s="46"/>
      <c r="G18" s="48"/>
    </row>
    <row r="19" spans="1:7" x14ac:dyDescent="0.25">
      <c r="A19" s="42"/>
      <c r="B19" s="43"/>
      <c r="C19" s="41" t="s">
        <v>7</v>
      </c>
      <c r="D19" s="43">
        <v>6000</v>
      </c>
      <c r="E19" s="43">
        <v>35</v>
      </c>
      <c r="F19" s="43"/>
      <c r="G19" s="44"/>
    </row>
    <row r="20" spans="1:7" x14ac:dyDescent="0.25">
      <c r="A20" s="45"/>
      <c r="B20" s="46"/>
      <c r="C20" s="47" t="s">
        <v>7</v>
      </c>
      <c r="D20" s="43">
        <v>4500</v>
      </c>
      <c r="E20" s="43">
        <v>50</v>
      </c>
      <c r="F20" s="46"/>
      <c r="G20" s="48"/>
    </row>
    <row r="21" spans="1:7" x14ac:dyDescent="0.25">
      <c r="A21" s="42"/>
      <c r="B21" s="43" t="s">
        <v>77</v>
      </c>
      <c r="C21" s="41" t="s">
        <v>7</v>
      </c>
      <c r="D21" s="43">
        <v>7000</v>
      </c>
      <c r="E21" s="43">
        <v>10</v>
      </c>
      <c r="F21" s="43">
        <v>7000</v>
      </c>
      <c r="G21" s="44">
        <v>20</v>
      </c>
    </row>
    <row r="22" spans="1:7" x14ac:dyDescent="0.25">
      <c r="A22" s="45"/>
      <c r="B22" s="46"/>
      <c r="C22" s="47" t="s">
        <v>7</v>
      </c>
      <c r="D22" s="46">
        <v>6000</v>
      </c>
      <c r="E22" s="46">
        <v>30</v>
      </c>
      <c r="F22" s="46"/>
      <c r="G22" s="48"/>
    </row>
    <row r="23" spans="1:7" x14ac:dyDescent="0.25">
      <c r="A23" s="42"/>
      <c r="B23" s="43"/>
      <c r="C23" s="41" t="s">
        <v>7</v>
      </c>
      <c r="D23" s="43">
        <v>4500</v>
      </c>
      <c r="E23" s="43">
        <v>50</v>
      </c>
      <c r="F23" s="43"/>
      <c r="G23" s="44"/>
    </row>
    <row r="24" spans="1:7" x14ac:dyDescent="0.25">
      <c r="A24" s="45"/>
      <c r="B24" s="46" t="s">
        <v>84</v>
      </c>
      <c r="C24" s="47" t="s">
        <v>10</v>
      </c>
      <c r="D24" s="46">
        <v>5000</v>
      </c>
      <c r="E24" s="46">
        <v>1</v>
      </c>
      <c r="F24" s="46">
        <v>5000</v>
      </c>
      <c r="G24" s="48">
        <v>100</v>
      </c>
    </row>
    <row r="25" spans="1:7" x14ac:dyDescent="0.25">
      <c r="A25" s="42"/>
      <c r="B25" s="43"/>
      <c r="C25" s="47" t="s">
        <v>10</v>
      </c>
      <c r="D25" s="43">
        <v>4500</v>
      </c>
      <c r="E25" s="43">
        <v>150</v>
      </c>
      <c r="F25" s="43">
        <v>4500</v>
      </c>
      <c r="G25" s="44">
        <v>250</v>
      </c>
    </row>
    <row r="26" spans="1:7" x14ac:dyDescent="0.25">
      <c r="A26" s="45"/>
      <c r="B26" s="46"/>
      <c r="C26" s="47" t="s">
        <v>10</v>
      </c>
      <c r="D26" s="46">
        <v>4000</v>
      </c>
      <c r="E26" s="46">
        <v>350</v>
      </c>
      <c r="F26" s="46"/>
      <c r="G26" s="48"/>
    </row>
    <row r="27" spans="1:7" x14ac:dyDescent="0.25">
      <c r="A27" s="42"/>
      <c r="B27" s="46"/>
      <c r="C27" s="47" t="s">
        <v>10</v>
      </c>
      <c r="D27" s="46">
        <v>3000</v>
      </c>
      <c r="E27" s="46">
        <v>500</v>
      </c>
      <c r="F27" s="46"/>
      <c r="G27" s="48"/>
    </row>
    <row r="28" spans="1:7" x14ac:dyDescent="0.25">
      <c r="A28" s="45"/>
      <c r="B28" s="46" t="s">
        <v>78</v>
      </c>
      <c r="C28" s="47" t="s">
        <v>7</v>
      </c>
      <c r="D28" s="46">
        <v>4400</v>
      </c>
      <c r="E28" s="46">
        <v>50</v>
      </c>
      <c r="F28" s="43"/>
      <c r="G28" s="44"/>
    </row>
    <row r="29" spans="1:7" x14ac:dyDescent="0.25">
      <c r="A29" s="42"/>
      <c r="B29" s="46"/>
      <c r="C29" s="47" t="s">
        <v>8</v>
      </c>
      <c r="D29" s="46">
        <v>5000</v>
      </c>
      <c r="E29" s="46"/>
      <c r="F29" s="46"/>
      <c r="G29" s="48"/>
    </row>
    <row r="30" spans="1:7" x14ac:dyDescent="0.25">
      <c r="A30" s="45"/>
      <c r="B30" s="43" t="s">
        <v>79</v>
      </c>
      <c r="C30" s="41" t="s">
        <v>7</v>
      </c>
      <c r="D30" s="43">
        <v>5000</v>
      </c>
      <c r="E30" s="43">
        <v>5</v>
      </c>
      <c r="F30" s="46">
        <v>5000</v>
      </c>
      <c r="G30" s="48">
        <v>10</v>
      </c>
    </row>
    <row r="31" spans="1:7" x14ac:dyDescent="0.25">
      <c r="A31" s="45"/>
      <c r="B31" s="43"/>
      <c r="C31" s="41" t="s">
        <v>9</v>
      </c>
      <c r="D31" s="43">
        <v>5200</v>
      </c>
      <c r="E31" s="43"/>
      <c r="F31" s="43"/>
      <c r="G31" s="44"/>
    </row>
    <row r="32" spans="1:7" x14ac:dyDescent="0.25">
      <c r="A32" s="42"/>
      <c r="B32" s="43" t="s">
        <v>80</v>
      </c>
      <c r="C32" s="41" t="s">
        <v>7</v>
      </c>
      <c r="D32" s="43">
        <v>5000</v>
      </c>
      <c r="E32" s="43">
        <v>5</v>
      </c>
      <c r="F32" s="43">
        <v>5000</v>
      </c>
      <c r="G32" s="44">
        <v>10</v>
      </c>
    </row>
    <row r="33" spans="1:7" x14ac:dyDescent="0.25">
      <c r="A33" s="45"/>
      <c r="B33" s="43"/>
      <c r="C33" s="41" t="s">
        <v>9</v>
      </c>
      <c r="D33" s="43">
        <v>5200</v>
      </c>
      <c r="E33" s="43"/>
      <c r="F33" s="43"/>
      <c r="G33" s="44"/>
    </row>
    <row r="34" spans="1:7" x14ac:dyDescent="0.25">
      <c r="A34" s="42"/>
      <c r="B34" s="46" t="s">
        <v>82</v>
      </c>
      <c r="C34" s="47" t="s">
        <v>10</v>
      </c>
      <c r="D34" s="46">
        <v>3000</v>
      </c>
      <c r="E34" s="46">
        <v>1</v>
      </c>
      <c r="F34" s="46"/>
      <c r="G34" s="48"/>
    </row>
    <row r="35" spans="1:7" x14ac:dyDescent="0.25">
      <c r="A35" s="45"/>
      <c r="B35" s="46" t="s">
        <v>85</v>
      </c>
      <c r="C35" s="47" t="s">
        <v>9</v>
      </c>
      <c r="D35" s="46">
        <v>5000</v>
      </c>
      <c r="E35" s="46"/>
      <c r="F35" s="46"/>
      <c r="G35" s="48"/>
    </row>
    <row r="36" spans="1:7" x14ac:dyDescent="0.25">
      <c r="A36" s="45"/>
      <c r="B36" s="46"/>
      <c r="C36" s="47"/>
      <c r="D36" s="46"/>
      <c r="E36" s="46"/>
      <c r="F36" s="43"/>
      <c r="G36" s="44"/>
    </row>
    <row r="37" spans="1:7" x14ac:dyDescent="0.25">
      <c r="A37" s="42"/>
      <c r="B37" s="46"/>
      <c r="C37" s="47"/>
      <c r="D37" s="46"/>
      <c r="E37" s="46"/>
      <c r="F37" s="46"/>
      <c r="G37" s="48"/>
    </row>
    <row r="38" spans="1:7" x14ac:dyDescent="0.25">
      <c r="A38" s="45"/>
      <c r="B38" s="43"/>
      <c r="C38" s="41"/>
      <c r="D38" s="43"/>
      <c r="E38" s="43"/>
      <c r="F38" s="43"/>
      <c r="G38" s="44"/>
    </row>
    <row r="39" spans="1:7" x14ac:dyDescent="0.25">
      <c r="A39" s="42"/>
      <c r="B39" s="46"/>
      <c r="C39" s="47"/>
      <c r="D39" s="46"/>
      <c r="E39" s="46"/>
      <c r="F39" s="46"/>
      <c r="G39" s="48"/>
    </row>
    <row r="40" spans="1:7" x14ac:dyDescent="0.25">
      <c r="A40" s="45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3"/>
      <c r="G41" s="44"/>
    </row>
    <row r="42" spans="1:7" x14ac:dyDescent="0.25">
      <c r="A42" s="42"/>
      <c r="B42" s="46"/>
      <c r="C42" s="47"/>
      <c r="D42" s="46"/>
      <c r="E42" s="46"/>
      <c r="F42" s="46"/>
      <c r="G42" s="48"/>
    </row>
    <row r="43" spans="1:7" x14ac:dyDescent="0.25">
      <c r="A43" s="45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4" zoomScale="90" zoomScaleNormal="90" workbookViewId="0">
      <selection activeCell="C30" sqref="C3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197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89</v>
      </c>
      <c r="B5" s="27">
        <v>5240</v>
      </c>
      <c r="C5" s="27">
        <v>262</v>
      </c>
      <c r="D5" s="27">
        <f>'LECHO+LN 5240-20FX'!$B5/'LECHO+LN 5240-20FX'!$C5</f>
        <v>20</v>
      </c>
      <c r="E5" s="28">
        <v>1</v>
      </c>
      <c r="G5" s="72" t="s">
        <v>131</v>
      </c>
      <c r="H5" s="35"/>
    </row>
    <row r="6" spans="1:9" ht="19.5" customHeight="1" x14ac:dyDescent="0.3">
      <c r="A6" s="118" t="s">
        <v>53</v>
      </c>
      <c r="B6" s="118">
        <v>4400</v>
      </c>
      <c r="C6" s="118">
        <v>220</v>
      </c>
      <c r="D6" s="118">
        <v>20</v>
      </c>
      <c r="E6" s="118">
        <v>1</v>
      </c>
      <c r="H6" s="36"/>
    </row>
    <row r="7" spans="1:9" x14ac:dyDescent="0.25">
      <c r="I7" s="34"/>
    </row>
    <row r="8" spans="1:9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9" x14ac:dyDescent="0.25">
      <c r="A9" s="42" t="s">
        <v>33</v>
      </c>
      <c r="B9" s="43" t="s">
        <v>89</v>
      </c>
      <c r="C9" s="41" t="s">
        <v>3</v>
      </c>
      <c r="D9" s="43">
        <v>5135</v>
      </c>
      <c r="E9" s="43">
        <v>95</v>
      </c>
      <c r="F9" s="43">
        <v>4978</v>
      </c>
      <c r="G9" s="44">
        <v>95</v>
      </c>
    </row>
    <row r="10" spans="1:9" x14ac:dyDescent="0.25">
      <c r="A10" s="45"/>
      <c r="B10" s="46"/>
      <c r="C10" s="47" t="s">
        <v>9</v>
      </c>
      <c r="D10" s="46">
        <v>5606</v>
      </c>
      <c r="E10" s="46"/>
      <c r="F10" s="46"/>
      <c r="G10" s="48"/>
    </row>
    <row r="11" spans="1:9" x14ac:dyDescent="0.25">
      <c r="A11" s="42"/>
      <c r="B11" s="43" t="s">
        <v>53</v>
      </c>
      <c r="C11" s="41" t="s">
        <v>3</v>
      </c>
      <c r="D11" s="43">
        <v>4268</v>
      </c>
      <c r="E11" s="43">
        <v>95</v>
      </c>
      <c r="F11" s="43">
        <v>4180</v>
      </c>
      <c r="G11" s="44">
        <v>95</v>
      </c>
    </row>
    <row r="12" spans="1:9" x14ac:dyDescent="0.25">
      <c r="A12" s="42" t="s">
        <v>37</v>
      </c>
      <c r="B12" s="43" t="s">
        <v>76</v>
      </c>
      <c r="C12" s="41" t="s">
        <v>7</v>
      </c>
      <c r="D12" s="43">
        <v>6000</v>
      </c>
      <c r="E12" s="43">
        <v>1</v>
      </c>
      <c r="F12" s="43">
        <v>6000</v>
      </c>
      <c r="G12" s="44">
        <v>3</v>
      </c>
    </row>
    <row r="13" spans="1:9" x14ac:dyDescent="0.25">
      <c r="A13" s="45"/>
      <c r="B13" s="46"/>
      <c r="C13" s="41" t="s">
        <v>7</v>
      </c>
      <c r="D13" s="46">
        <v>5000</v>
      </c>
      <c r="E13" s="46">
        <v>22</v>
      </c>
      <c r="F13" s="46"/>
      <c r="G13" s="48"/>
    </row>
    <row r="14" spans="1:9" x14ac:dyDescent="0.25">
      <c r="A14" s="42"/>
      <c r="B14" s="43"/>
      <c r="C14" s="41" t="s">
        <v>7</v>
      </c>
      <c r="D14" s="43">
        <v>4000</v>
      </c>
      <c r="E14" s="43">
        <v>38</v>
      </c>
      <c r="F14" s="43"/>
      <c r="G14" s="44"/>
    </row>
    <row r="15" spans="1:9" x14ac:dyDescent="0.25">
      <c r="A15" s="45"/>
      <c r="B15" s="46"/>
      <c r="C15" s="41" t="s">
        <v>7</v>
      </c>
      <c r="D15" s="46">
        <v>3000</v>
      </c>
      <c r="E15" s="46">
        <v>57</v>
      </c>
      <c r="F15" s="46"/>
      <c r="G15" s="48"/>
    </row>
    <row r="16" spans="1:9" x14ac:dyDescent="0.25">
      <c r="A16" s="42"/>
      <c r="B16" s="43"/>
      <c r="C16" s="41" t="s">
        <v>7</v>
      </c>
      <c r="D16" s="43">
        <v>2000</v>
      </c>
      <c r="E16" s="43">
        <v>85</v>
      </c>
      <c r="F16" s="43"/>
      <c r="G16" s="44"/>
    </row>
    <row r="17" spans="1:7" x14ac:dyDescent="0.25">
      <c r="A17" s="45"/>
      <c r="B17" s="43"/>
      <c r="C17" s="41" t="s">
        <v>8</v>
      </c>
      <c r="D17" s="43">
        <v>3500</v>
      </c>
      <c r="E17" s="43"/>
      <c r="F17" s="43"/>
      <c r="G17" s="44"/>
    </row>
    <row r="18" spans="1:7" x14ac:dyDescent="0.25">
      <c r="A18" s="42"/>
      <c r="B18" s="43" t="s">
        <v>77</v>
      </c>
      <c r="C18" s="41" t="s">
        <v>7</v>
      </c>
      <c r="D18" s="43">
        <v>6000</v>
      </c>
      <c r="E18" s="43">
        <v>3</v>
      </c>
      <c r="F18" s="43">
        <v>6000</v>
      </c>
      <c r="G18" s="44">
        <v>5</v>
      </c>
    </row>
    <row r="19" spans="1:7" x14ac:dyDescent="0.25">
      <c r="A19" s="45"/>
      <c r="B19" s="46"/>
      <c r="C19" s="41" t="s">
        <v>7</v>
      </c>
      <c r="D19" s="46">
        <v>5680</v>
      </c>
      <c r="E19" s="46">
        <v>5</v>
      </c>
      <c r="F19" s="46"/>
      <c r="G19" s="48"/>
    </row>
    <row r="20" spans="1:7" x14ac:dyDescent="0.25">
      <c r="A20" s="42"/>
      <c r="B20" s="43"/>
      <c r="C20" s="41" t="s">
        <v>7</v>
      </c>
      <c r="D20" s="43">
        <v>4800</v>
      </c>
      <c r="E20" s="43">
        <v>25</v>
      </c>
      <c r="F20" s="43"/>
      <c r="G20" s="44"/>
    </row>
    <row r="21" spans="1:7" x14ac:dyDescent="0.25">
      <c r="A21" s="45"/>
      <c r="B21" s="46"/>
      <c r="C21" s="41" t="s">
        <v>7</v>
      </c>
      <c r="D21" s="43">
        <v>4000</v>
      </c>
      <c r="E21" s="43">
        <v>50</v>
      </c>
      <c r="F21" s="46"/>
      <c r="G21" s="48"/>
    </row>
    <row r="22" spans="1:7" x14ac:dyDescent="0.25">
      <c r="A22" s="42"/>
      <c r="B22" s="46"/>
      <c r="C22" s="41" t="s">
        <v>8</v>
      </c>
      <c r="D22" s="46">
        <v>4500</v>
      </c>
      <c r="E22" s="46"/>
      <c r="F22" s="43"/>
      <c r="G22" s="44"/>
    </row>
    <row r="23" spans="1:7" x14ac:dyDescent="0.25">
      <c r="A23" s="45"/>
      <c r="B23" s="46" t="s">
        <v>78</v>
      </c>
      <c r="C23" s="41" t="s">
        <v>7</v>
      </c>
      <c r="D23" s="46">
        <v>2200</v>
      </c>
      <c r="E23" s="46">
        <v>50</v>
      </c>
      <c r="F23" s="46"/>
      <c r="G23" s="48"/>
    </row>
    <row r="24" spans="1:7" x14ac:dyDescent="0.25">
      <c r="A24" s="42"/>
      <c r="B24" s="43" t="s">
        <v>79</v>
      </c>
      <c r="C24" s="41" t="s">
        <v>7</v>
      </c>
      <c r="D24" s="43">
        <v>3500</v>
      </c>
      <c r="E24" s="43">
        <v>5</v>
      </c>
      <c r="F24" s="43"/>
      <c r="G24" s="44"/>
    </row>
    <row r="25" spans="1:7" x14ac:dyDescent="0.25">
      <c r="A25" s="45"/>
      <c r="B25" s="43" t="s">
        <v>80</v>
      </c>
      <c r="C25" s="41" t="s">
        <v>7</v>
      </c>
      <c r="D25" s="43">
        <v>3500</v>
      </c>
      <c r="E25" s="43">
        <v>5</v>
      </c>
      <c r="F25" s="46"/>
      <c r="G25" s="48"/>
    </row>
    <row r="26" spans="1:7" x14ac:dyDescent="0.25">
      <c r="A26" s="45"/>
      <c r="B26" s="43" t="s">
        <v>85</v>
      </c>
      <c r="C26" s="41" t="s">
        <v>9</v>
      </c>
      <c r="D26" s="43">
        <v>4000</v>
      </c>
      <c r="E26" s="43"/>
      <c r="F26" s="43"/>
      <c r="G26" s="44"/>
    </row>
    <row r="27" spans="1:7" x14ac:dyDescent="0.25">
      <c r="A27" s="42"/>
      <c r="B27" s="43" t="s">
        <v>84</v>
      </c>
      <c r="C27" s="41" t="s">
        <v>9</v>
      </c>
      <c r="D27" s="43">
        <v>4600</v>
      </c>
      <c r="E27" s="43"/>
      <c r="F27" s="46"/>
      <c r="G27" s="48"/>
    </row>
    <row r="28" spans="1:7" x14ac:dyDescent="0.25">
      <c r="A28" s="45"/>
      <c r="B28" s="43"/>
      <c r="C28" s="41" t="s">
        <v>10</v>
      </c>
      <c r="D28" s="43">
        <v>3700</v>
      </c>
      <c r="E28" s="43">
        <v>90</v>
      </c>
      <c r="F28" s="43"/>
      <c r="G28" s="44"/>
    </row>
    <row r="29" spans="1:7" x14ac:dyDescent="0.25">
      <c r="A29" s="42"/>
      <c r="B29" s="46"/>
      <c r="C29" s="41" t="s">
        <v>10</v>
      </c>
      <c r="D29" s="46">
        <v>3300</v>
      </c>
      <c r="E29" s="46">
        <v>130</v>
      </c>
      <c r="F29" s="46"/>
      <c r="G29" s="48"/>
    </row>
    <row r="30" spans="1:7" x14ac:dyDescent="0.25">
      <c r="A30" s="45"/>
      <c r="B30" s="43" t="s">
        <v>92</v>
      </c>
      <c r="C30" s="41" t="s">
        <v>9</v>
      </c>
      <c r="D30" s="43">
        <v>5000</v>
      </c>
      <c r="E30" s="43"/>
      <c r="F30" s="46"/>
      <c r="G30" s="48"/>
    </row>
    <row r="31" spans="1:7" x14ac:dyDescent="0.25">
      <c r="A31" s="42"/>
      <c r="B31" s="46"/>
      <c r="C31" s="41"/>
      <c r="D31" s="46"/>
      <c r="E31" s="46"/>
      <c r="F31" s="46"/>
      <c r="G31" s="44"/>
    </row>
    <row r="32" spans="1:7" x14ac:dyDescent="0.25">
      <c r="A32" s="45"/>
      <c r="B32" s="43"/>
      <c r="C32" s="41"/>
      <c r="D32" s="43"/>
      <c r="E32" s="43"/>
      <c r="F32" s="43"/>
      <c r="G32" s="48"/>
    </row>
    <row r="33" spans="1:7" x14ac:dyDescent="0.25">
      <c r="A33" s="42"/>
      <c r="B33" s="43"/>
      <c r="C33" s="41"/>
      <c r="D33" s="43"/>
      <c r="E33" s="43"/>
      <c r="F33" s="46"/>
      <c r="G33" s="44"/>
    </row>
    <row r="34" spans="1:7" x14ac:dyDescent="0.25">
      <c r="A34" s="45"/>
      <c r="B34" s="43"/>
      <c r="C34" s="41"/>
      <c r="D34" s="43"/>
      <c r="E34" s="43"/>
      <c r="F34" s="43"/>
      <c r="G34" s="48"/>
    </row>
    <row r="35" spans="1:7" x14ac:dyDescent="0.25">
      <c r="A35" s="42"/>
      <c r="B35" s="43"/>
      <c r="C35" s="41"/>
      <c r="D35" s="43"/>
      <c r="E35" s="43"/>
      <c r="F35" s="46"/>
      <c r="G35" s="44"/>
    </row>
    <row r="36" spans="1:7" x14ac:dyDescent="0.25">
      <c r="A36" s="45"/>
      <c r="B36" s="43"/>
      <c r="C36" s="41"/>
      <c r="D36" s="43"/>
      <c r="E36" s="43"/>
      <c r="F36" s="46"/>
      <c r="G36" s="48"/>
    </row>
    <row r="37" spans="1:7" x14ac:dyDescent="0.25">
      <c r="A37" s="42"/>
      <c r="B37" s="46"/>
      <c r="C37" s="41"/>
      <c r="D37" s="46"/>
      <c r="E37" s="46"/>
      <c r="F37" s="43"/>
      <c r="G37" s="44"/>
    </row>
    <row r="38" spans="1:7" x14ac:dyDescent="0.25">
      <c r="A38" s="45"/>
      <c r="B38" s="43"/>
      <c r="C38" s="41"/>
      <c r="D38" s="43"/>
      <c r="E38" s="43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5"/>
      <c r="B43" s="6"/>
      <c r="C43" s="7"/>
      <c r="D43" s="6"/>
      <c r="E43" s="43"/>
      <c r="F43" s="43"/>
      <c r="G43" s="44"/>
    </row>
    <row r="44" spans="1:7" x14ac:dyDescent="0.25">
      <c r="A44" s="5"/>
      <c r="B44" s="6"/>
      <c r="C44" s="7"/>
      <c r="D44" s="6"/>
      <c r="E44" s="6"/>
      <c r="F44" s="6"/>
      <c r="G44" s="8"/>
    </row>
    <row r="46" spans="1:7" x14ac:dyDescent="0.25">
      <c r="A46" s="5" t="s">
        <v>41</v>
      </c>
      <c r="B46" s="6"/>
      <c r="C46" s="7"/>
      <c r="D46" s="6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zoomScale="80" zoomScaleNormal="80" workbookViewId="0">
      <selection activeCell="G31" sqref="G31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8" ht="255.75" customHeight="1" x14ac:dyDescent="0.25"/>
    <row r="2" spans="1:8" ht="21" customHeight="1" x14ac:dyDescent="0.35">
      <c r="A2" s="38" t="s">
        <v>18</v>
      </c>
      <c r="B2" s="39" t="s">
        <v>149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8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8" ht="15.75" customHeight="1" x14ac:dyDescent="0.25">
      <c r="A5" s="26" t="s">
        <v>89</v>
      </c>
      <c r="B5" s="27">
        <v>5240</v>
      </c>
      <c r="C5" s="27">
        <v>262</v>
      </c>
      <c r="D5" s="27">
        <f>'LECHO_PR HIPO 5240-20FX'!$B5/'LECHO_PR HIPO 5240-20FX'!$C5</f>
        <v>20</v>
      </c>
      <c r="E5" s="28">
        <v>1</v>
      </c>
      <c r="G5" s="72" t="s">
        <v>131</v>
      </c>
      <c r="H5" s="35"/>
    </row>
    <row r="7" spans="1:8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8" x14ac:dyDescent="0.25">
      <c r="A8" s="42" t="s">
        <v>33</v>
      </c>
      <c r="B8" s="43" t="s">
        <v>89</v>
      </c>
      <c r="C8" s="41" t="s">
        <v>3</v>
      </c>
      <c r="D8" s="43">
        <v>5135</v>
      </c>
      <c r="E8" s="43">
        <v>95</v>
      </c>
      <c r="F8" s="43"/>
      <c r="G8" s="44"/>
    </row>
    <row r="9" spans="1:8" x14ac:dyDescent="0.25">
      <c r="A9" s="45"/>
      <c r="B9" s="46"/>
      <c r="C9" s="47" t="s">
        <v>9</v>
      </c>
      <c r="D9" s="46">
        <v>5607</v>
      </c>
      <c r="E9" s="46"/>
      <c r="F9" s="46"/>
      <c r="G9" s="48"/>
    </row>
    <row r="10" spans="1:8" x14ac:dyDescent="0.25">
      <c r="A10" s="42" t="s">
        <v>37</v>
      </c>
      <c r="B10" s="43" t="s">
        <v>76</v>
      </c>
      <c r="C10" s="41" t="s">
        <v>7</v>
      </c>
      <c r="D10" s="43">
        <v>6000</v>
      </c>
      <c r="E10" s="43">
        <v>1</v>
      </c>
      <c r="F10" s="43">
        <v>6000</v>
      </c>
      <c r="G10" s="44">
        <v>10</v>
      </c>
    </row>
    <row r="11" spans="1:8" x14ac:dyDescent="0.25">
      <c r="A11" s="45"/>
      <c r="B11" s="46"/>
      <c r="C11" s="47" t="s">
        <v>7</v>
      </c>
      <c r="D11" s="46">
        <v>5000</v>
      </c>
      <c r="E11" s="46">
        <v>22</v>
      </c>
      <c r="F11" s="46"/>
      <c r="G11" s="48"/>
    </row>
    <row r="12" spans="1:8" x14ac:dyDescent="0.25">
      <c r="A12" s="42"/>
      <c r="B12" s="43"/>
      <c r="C12" s="41" t="s">
        <v>7</v>
      </c>
      <c r="D12" s="43">
        <v>4000</v>
      </c>
      <c r="E12" s="43">
        <v>38</v>
      </c>
      <c r="F12" s="43"/>
      <c r="G12" s="44"/>
    </row>
    <row r="13" spans="1:8" x14ac:dyDescent="0.25">
      <c r="A13" s="45"/>
      <c r="B13" s="46"/>
      <c r="C13" s="47" t="s">
        <v>7</v>
      </c>
      <c r="D13" s="46">
        <v>3000</v>
      </c>
      <c r="E13" s="46">
        <v>57</v>
      </c>
      <c r="F13" s="46"/>
      <c r="G13" s="48"/>
    </row>
    <row r="14" spans="1:8" x14ac:dyDescent="0.25">
      <c r="A14" s="42"/>
      <c r="B14" s="43" t="s">
        <v>77</v>
      </c>
      <c r="C14" s="41" t="s">
        <v>7</v>
      </c>
      <c r="D14" s="43">
        <v>6000</v>
      </c>
      <c r="E14" s="43">
        <v>3</v>
      </c>
      <c r="F14" s="43">
        <v>6000</v>
      </c>
      <c r="G14" s="44">
        <v>10</v>
      </c>
    </row>
    <row r="15" spans="1:8" x14ac:dyDescent="0.25">
      <c r="A15" s="45"/>
      <c r="B15" s="46"/>
      <c r="C15" s="47" t="s">
        <v>7</v>
      </c>
      <c r="D15" s="46">
        <v>4800</v>
      </c>
      <c r="E15" s="46">
        <v>25</v>
      </c>
      <c r="F15" s="46">
        <v>4700</v>
      </c>
      <c r="G15" s="48">
        <v>50</v>
      </c>
    </row>
    <row r="16" spans="1:8" x14ac:dyDescent="0.25">
      <c r="A16" s="42"/>
      <c r="B16" s="43"/>
      <c r="C16" s="41" t="s">
        <v>7</v>
      </c>
      <c r="D16" s="43">
        <v>4000</v>
      </c>
      <c r="E16" s="43">
        <v>50</v>
      </c>
      <c r="F16" s="43"/>
      <c r="G16" s="44"/>
    </row>
    <row r="17" spans="1:7" x14ac:dyDescent="0.25">
      <c r="A17" s="45"/>
      <c r="B17" s="46"/>
      <c r="C17" s="47" t="s">
        <v>10</v>
      </c>
      <c r="D17" s="46">
        <v>6000</v>
      </c>
      <c r="E17" s="46">
        <v>90</v>
      </c>
      <c r="F17" s="46"/>
      <c r="G17" s="48"/>
    </row>
    <row r="18" spans="1:7" x14ac:dyDescent="0.25">
      <c r="A18" s="42"/>
      <c r="B18" s="43"/>
      <c r="C18" s="47" t="s">
        <v>10</v>
      </c>
      <c r="D18" s="43">
        <v>5600</v>
      </c>
      <c r="E18" s="43">
        <v>125</v>
      </c>
      <c r="F18" s="43"/>
      <c r="G18" s="44"/>
    </row>
    <row r="19" spans="1:7" x14ac:dyDescent="0.25">
      <c r="A19" s="45"/>
      <c r="B19" s="46" t="s">
        <v>78</v>
      </c>
      <c r="C19" s="47" t="s">
        <v>7</v>
      </c>
      <c r="D19" s="46">
        <v>2200</v>
      </c>
      <c r="E19" s="46">
        <v>50</v>
      </c>
      <c r="F19" s="46"/>
      <c r="G19" s="48"/>
    </row>
    <row r="20" spans="1:7" x14ac:dyDescent="0.25">
      <c r="A20" s="42"/>
      <c r="B20" s="43" t="s">
        <v>79</v>
      </c>
      <c r="C20" s="41" t="s">
        <v>7</v>
      </c>
      <c r="D20" s="43">
        <v>3500</v>
      </c>
      <c r="E20" s="43">
        <v>5</v>
      </c>
      <c r="F20" s="43"/>
      <c r="G20" s="44"/>
    </row>
    <row r="21" spans="1:7" x14ac:dyDescent="0.25">
      <c r="A21" s="45"/>
      <c r="B21" s="43"/>
      <c r="C21" s="41" t="s">
        <v>9</v>
      </c>
      <c r="D21" s="43">
        <v>3700</v>
      </c>
      <c r="E21" s="43"/>
      <c r="F21" s="46"/>
      <c r="G21" s="48"/>
    </row>
    <row r="22" spans="1:7" x14ac:dyDescent="0.25">
      <c r="A22" s="42"/>
      <c r="B22" s="43" t="s">
        <v>80</v>
      </c>
      <c r="C22" s="41" t="s">
        <v>7</v>
      </c>
      <c r="D22" s="43">
        <v>3500</v>
      </c>
      <c r="E22" s="43">
        <v>5</v>
      </c>
      <c r="F22" s="43"/>
      <c r="G22" s="44"/>
    </row>
    <row r="23" spans="1:7" x14ac:dyDescent="0.25">
      <c r="A23" s="45"/>
      <c r="B23" s="46"/>
      <c r="C23" s="47" t="s">
        <v>9</v>
      </c>
      <c r="D23" s="46">
        <v>3700</v>
      </c>
      <c r="E23" s="46"/>
      <c r="F23" s="46"/>
      <c r="G23" s="48"/>
    </row>
    <row r="24" spans="1:7" x14ac:dyDescent="0.25">
      <c r="A24" s="45"/>
      <c r="B24" s="46" t="s">
        <v>82</v>
      </c>
      <c r="C24" s="47" t="s">
        <v>10</v>
      </c>
      <c r="D24" s="46">
        <v>2600</v>
      </c>
      <c r="E24" s="46">
        <v>1</v>
      </c>
      <c r="F24" s="43"/>
      <c r="G24" s="44"/>
    </row>
    <row r="25" spans="1:7" x14ac:dyDescent="0.25">
      <c r="A25" s="42"/>
      <c r="B25" s="46"/>
      <c r="C25" s="47"/>
      <c r="D25" s="46"/>
      <c r="E25" s="46"/>
      <c r="F25" s="46"/>
      <c r="G25" s="48"/>
    </row>
    <row r="26" spans="1:7" x14ac:dyDescent="0.25">
      <c r="A26" s="45"/>
      <c r="B26" s="43"/>
      <c r="C26" s="41"/>
      <c r="D26" s="43"/>
      <c r="E26" s="43"/>
      <c r="F26" s="46"/>
      <c r="G26" s="48"/>
    </row>
    <row r="27" spans="1:7" x14ac:dyDescent="0.25">
      <c r="A27" s="42"/>
      <c r="B27" s="43"/>
      <c r="C27" s="41"/>
      <c r="D27" s="43"/>
      <c r="E27" s="43"/>
      <c r="F27" s="43"/>
      <c r="G27" s="44"/>
    </row>
    <row r="28" spans="1:7" x14ac:dyDescent="0.25">
      <c r="A28" s="45"/>
      <c r="B28" s="46"/>
      <c r="C28" s="47"/>
      <c r="D28" s="46"/>
      <c r="E28" s="46"/>
      <c r="F28" s="43"/>
      <c r="G28" s="44"/>
    </row>
    <row r="29" spans="1:7" x14ac:dyDescent="0.25">
      <c r="A29" s="45"/>
      <c r="B29" s="46"/>
      <c r="C29" s="47"/>
      <c r="D29" s="46"/>
      <c r="E29" s="46"/>
      <c r="F29" s="46"/>
      <c r="G29" s="48"/>
    </row>
    <row r="30" spans="1:7" x14ac:dyDescent="0.25">
      <c r="A30" s="45"/>
      <c r="B30" s="46"/>
      <c r="C30" s="47"/>
      <c r="D30" s="46"/>
      <c r="E30" s="46"/>
      <c r="F30" s="43"/>
      <c r="G30" s="44"/>
    </row>
    <row r="31" spans="1:7" x14ac:dyDescent="0.25">
      <c r="A31" s="45"/>
      <c r="B31" s="46"/>
      <c r="C31" s="47"/>
      <c r="D31" s="46"/>
      <c r="E31" s="46"/>
      <c r="F31" s="46"/>
      <c r="G31" s="48"/>
    </row>
    <row r="32" spans="1:7" x14ac:dyDescent="0.25">
      <c r="A32" s="45"/>
      <c r="B32" s="46"/>
      <c r="C32" s="47"/>
      <c r="D32" s="46"/>
      <c r="E32" s="46"/>
      <c r="F32" s="43"/>
      <c r="G32" s="44"/>
    </row>
    <row r="33" spans="1:7" x14ac:dyDescent="0.25">
      <c r="A33" s="42"/>
      <c r="B33" s="46"/>
      <c r="C33" s="47"/>
      <c r="D33" s="46"/>
      <c r="E33" s="46"/>
      <c r="F33" s="46"/>
      <c r="G33" s="48"/>
    </row>
    <row r="34" spans="1:7" x14ac:dyDescent="0.25">
      <c r="A34" s="45"/>
      <c r="B34" s="43"/>
      <c r="C34" s="41"/>
      <c r="D34" s="43"/>
      <c r="E34" s="43"/>
      <c r="F34" s="43"/>
      <c r="G34" s="44"/>
    </row>
    <row r="35" spans="1:7" x14ac:dyDescent="0.25">
      <c r="A35" s="42"/>
      <c r="B35" s="46"/>
      <c r="C35" s="47"/>
      <c r="D35" s="46"/>
      <c r="E35" s="46"/>
      <c r="F35" s="46"/>
      <c r="G35" s="48"/>
    </row>
    <row r="36" spans="1:7" x14ac:dyDescent="0.25">
      <c r="A36" s="45"/>
      <c r="B36" s="43"/>
      <c r="C36" s="41"/>
      <c r="D36" s="43"/>
      <c r="E36" s="43"/>
      <c r="F36" s="43"/>
      <c r="G36" s="44"/>
    </row>
    <row r="37" spans="1:7" x14ac:dyDescent="0.25">
      <c r="A37" s="45"/>
      <c r="B37" s="43"/>
      <c r="C37" s="41"/>
      <c r="D37" s="43"/>
      <c r="E37" s="43"/>
      <c r="F37" s="43"/>
      <c r="G37" s="44"/>
    </row>
    <row r="38" spans="1:7" x14ac:dyDescent="0.25">
      <c r="A38" s="42"/>
      <c r="B38" s="46"/>
      <c r="C38" s="47"/>
      <c r="D38" s="46"/>
      <c r="E38" s="46"/>
      <c r="F38" s="46"/>
      <c r="G38" s="48"/>
    </row>
    <row r="39" spans="1:7" x14ac:dyDescent="0.25">
      <c r="A39" s="45"/>
      <c r="B39" s="43"/>
      <c r="C39" s="41"/>
      <c r="D39" s="43"/>
      <c r="E39" s="43"/>
      <c r="F39" s="43"/>
      <c r="G39" s="44"/>
    </row>
    <row r="40" spans="1:7" x14ac:dyDescent="0.25">
      <c r="A40" s="42"/>
      <c r="B40" s="46"/>
      <c r="C40" s="47"/>
      <c r="D40" s="46"/>
      <c r="E40" s="46"/>
      <c r="F40" s="46"/>
      <c r="G40" s="48"/>
    </row>
    <row r="41" spans="1:7" x14ac:dyDescent="0.25">
      <c r="A41" s="45"/>
      <c r="B41" s="46"/>
      <c r="C41" s="47"/>
      <c r="D41" s="46"/>
      <c r="E41" s="46"/>
      <c r="F41" s="43"/>
      <c r="G41" s="44"/>
    </row>
    <row r="42" spans="1:7" x14ac:dyDescent="0.25">
      <c r="A42" s="42"/>
      <c r="B42" s="46"/>
      <c r="C42" s="47"/>
      <c r="D42" s="46"/>
      <c r="E42" s="46"/>
      <c r="F42" s="46"/>
      <c r="G42" s="48"/>
    </row>
    <row r="43" spans="1:7" x14ac:dyDescent="0.25">
      <c r="A43" s="42"/>
      <c r="B43" s="46"/>
      <c r="C43" s="47"/>
      <c r="D43" s="46"/>
      <c r="E43" s="46"/>
      <c r="F43" s="46"/>
      <c r="G43" s="48"/>
    </row>
    <row r="44" spans="1:7" x14ac:dyDescent="0.25">
      <c r="A44" s="45"/>
      <c r="B44" s="43"/>
      <c r="C44" s="41"/>
      <c r="D44" s="43"/>
      <c r="E44" s="43"/>
      <c r="F44" s="43"/>
      <c r="G44" s="44"/>
    </row>
    <row r="45" spans="1:7" x14ac:dyDescent="0.25">
      <c r="A45" s="42"/>
      <c r="B45" s="46"/>
      <c r="C45" s="47"/>
      <c r="D45" s="46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46"/>
      <c r="F46" s="46"/>
      <c r="G46" s="48"/>
    </row>
    <row r="47" spans="1:7" x14ac:dyDescent="0.25">
      <c r="E47" s="43"/>
      <c r="F47" s="43"/>
      <c r="G47" s="44"/>
    </row>
    <row r="48" spans="1:7" x14ac:dyDescent="0.25">
      <c r="E48" s="85"/>
      <c r="F48" s="85"/>
      <c r="G48" s="85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4" zoomScale="80" zoomScaleNormal="80" workbookViewId="0">
      <selection activeCell="E30" sqref="E3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88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89</v>
      </c>
      <c r="B5" s="27">
        <v>4600</v>
      </c>
      <c r="C5" s="27">
        <v>200</v>
      </c>
      <c r="D5" s="27">
        <f>'LECHO_PR+LN 7000 4600-35FX'!$B5/'LECHO_PR+LN 7000 4600-35FX'!$C5</f>
        <v>23</v>
      </c>
      <c r="E5" s="28">
        <v>1</v>
      </c>
      <c r="G5" s="72" t="s">
        <v>122</v>
      </c>
      <c r="H5" s="35"/>
    </row>
    <row r="6" spans="1:9" ht="19.5" customHeight="1" x14ac:dyDescent="0.3">
      <c r="A6" s="9" t="s">
        <v>53</v>
      </c>
      <c r="B6" s="10">
        <v>4600</v>
      </c>
      <c r="C6" s="10">
        <v>200</v>
      </c>
      <c r="D6" s="54">
        <f>'LECHO_PR+LN 7000 4600-35FX'!$B6/'LECHO_PR+LN 7000 4600-35FX'!$C6</f>
        <v>23</v>
      </c>
      <c r="E6" s="11">
        <v>1</v>
      </c>
      <c r="H6" s="36"/>
    </row>
    <row r="7" spans="1:9" x14ac:dyDescent="0.25">
      <c r="A7" s="26" t="s">
        <v>89</v>
      </c>
      <c r="B7" s="27">
        <v>2400</v>
      </c>
      <c r="C7" s="27">
        <v>200</v>
      </c>
      <c r="D7" s="27">
        <f>'LECHO_PR+LN 7000 4600-35FX'!$B7/'LECHO_PR+LN 7000 4600-35FX'!$C7</f>
        <v>12</v>
      </c>
      <c r="E7" s="28">
        <v>2</v>
      </c>
      <c r="I7" s="34"/>
    </row>
    <row r="9" spans="1:9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9" x14ac:dyDescent="0.25">
      <c r="A10" s="42" t="s">
        <v>33</v>
      </c>
      <c r="B10" s="43" t="s">
        <v>89</v>
      </c>
      <c r="C10" s="41" t="s">
        <v>3</v>
      </c>
      <c r="D10" s="43">
        <v>6860</v>
      </c>
      <c r="E10" s="43">
        <v>95</v>
      </c>
      <c r="F10" s="43"/>
      <c r="G10" s="44"/>
    </row>
    <row r="11" spans="1:9" x14ac:dyDescent="0.25">
      <c r="A11" s="45"/>
      <c r="B11" s="46"/>
      <c r="C11" s="47" t="s">
        <v>9</v>
      </c>
      <c r="D11" s="46">
        <v>7490</v>
      </c>
      <c r="E11" s="46"/>
      <c r="F11" s="46"/>
      <c r="G11" s="48"/>
    </row>
    <row r="12" spans="1:9" x14ac:dyDescent="0.25">
      <c r="A12" s="42"/>
      <c r="B12" s="43" t="s">
        <v>53</v>
      </c>
      <c r="C12" s="41" t="s">
        <v>3</v>
      </c>
      <c r="D12" s="43">
        <v>4508</v>
      </c>
      <c r="E12" s="43">
        <v>95</v>
      </c>
      <c r="F12" s="43"/>
      <c r="G12" s="44"/>
    </row>
    <row r="13" spans="1:9" x14ac:dyDescent="0.25">
      <c r="A13" s="42" t="s">
        <v>37</v>
      </c>
      <c r="B13" s="43" t="s">
        <v>76</v>
      </c>
      <c r="C13" s="41" t="s">
        <v>7</v>
      </c>
      <c r="D13" s="43">
        <v>7000</v>
      </c>
      <c r="E13" s="43">
        <v>10</v>
      </c>
      <c r="F13" s="43">
        <v>7000</v>
      </c>
      <c r="G13" s="44">
        <v>20</v>
      </c>
    </row>
    <row r="14" spans="1:9" x14ac:dyDescent="0.25">
      <c r="A14" s="45"/>
      <c r="B14" s="46"/>
      <c r="C14" s="47" t="s">
        <v>7</v>
      </c>
      <c r="D14" s="46">
        <v>6500</v>
      </c>
      <c r="E14" s="46">
        <v>25</v>
      </c>
      <c r="F14" s="46"/>
      <c r="G14" s="48"/>
    </row>
    <row r="15" spans="1:9" x14ac:dyDescent="0.25">
      <c r="A15" s="42"/>
      <c r="B15" s="43"/>
      <c r="C15" s="41" t="s">
        <v>7</v>
      </c>
      <c r="D15" s="43">
        <v>6000</v>
      </c>
      <c r="E15" s="43">
        <v>35</v>
      </c>
      <c r="F15" s="43"/>
      <c r="G15" s="44"/>
    </row>
    <row r="16" spans="1:9" x14ac:dyDescent="0.25">
      <c r="A16" s="45"/>
      <c r="B16" s="46"/>
      <c r="C16" s="47" t="s">
        <v>7</v>
      </c>
      <c r="D16" s="46">
        <v>5300</v>
      </c>
      <c r="E16" s="46">
        <v>35</v>
      </c>
      <c r="F16" s="46"/>
      <c r="G16" s="48"/>
    </row>
    <row r="17" spans="1:7" x14ac:dyDescent="0.25">
      <c r="A17" s="42"/>
      <c r="B17" s="43"/>
      <c r="C17" s="41" t="s">
        <v>7</v>
      </c>
      <c r="D17" s="43">
        <v>4500</v>
      </c>
      <c r="E17" s="43">
        <v>50</v>
      </c>
      <c r="F17" s="43"/>
      <c r="G17" s="44"/>
    </row>
    <row r="18" spans="1:7" x14ac:dyDescent="0.25">
      <c r="A18" s="45"/>
      <c r="B18" s="43"/>
      <c r="C18" s="41" t="s">
        <v>7</v>
      </c>
      <c r="D18" s="43">
        <v>4000</v>
      </c>
      <c r="E18" s="43">
        <v>40</v>
      </c>
      <c r="F18" s="43"/>
      <c r="G18" s="44"/>
    </row>
    <row r="19" spans="1:7" x14ac:dyDescent="0.25">
      <c r="A19" s="42"/>
      <c r="B19" s="43" t="s">
        <v>77</v>
      </c>
      <c r="C19" s="41" t="s">
        <v>7</v>
      </c>
      <c r="D19" s="43">
        <v>7000</v>
      </c>
      <c r="E19" s="43">
        <v>10</v>
      </c>
      <c r="F19" s="43">
        <v>7000</v>
      </c>
      <c r="G19" s="44">
        <v>20</v>
      </c>
    </row>
    <row r="20" spans="1:7" x14ac:dyDescent="0.25">
      <c r="A20" s="45"/>
      <c r="B20" s="46"/>
      <c r="C20" s="47" t="s">
        <v>7</v>
      </c>
      <c r="D20" s="46">
        <v>6000</v>
      </c>
      <c r="E20" s="46">
        <v>30</v>
      </c>
      <c r="F20" s="46"/>
      <c r="G20" s="48"/>
    </row>
    <row r="21" spans="1:7" x14ac:dyDescent="0.25">
      <c r="A21" s="42"/>
      <c r="B21" s="43"/>
      <c r="C21" s="41" t="s">
        <v>7</v>
      </c>
      <c r="D21" s="43">
        <v>4500</v>
      </c>
      <c r="E21" s="43">
        <v>50</v>
      </c>
      <c r="F21" s="43"/>
      <c r="G21" s="44"/>
    </row>
    <row r="22" spans="1:7" x14ac:dyDescent="0.25">
      <c r="A22" s="45"/>
      <c r="B22" s="46" t="s">
        <v>84</v>
      </c>
      <c r="C22" s="47" t="s">
        <v>10</v>
      </c>
      <c r="D22" s="46">
        <v>5000</v>
      </c>
      <c r="E22" s="46">
        <v>1</v>
      </c>
      <c r="F22" s="46">
        <v>5000</v>
      </c>
      <c r="G22" s="48">
        <v>100</v>
      </c>
    </row>
    <row r="23" spans="1:7" x14ac:dyDescent="0.25">
      <c r="A23" s="42"/>
      <c r="B23" s="43"/>
      <c r="C23" s="47" t="s">
        <v>10</v>
      </c>
      <c r="D23" s="43">
        <v>4500</v>
      </c>
      <c r="E23" s="43">
        <v>150</v>
      </c>
      <c r="F23" s="43">
        <v>4500</v>
      </c>
      <c r="G23" s="44">
        <v>250</v>
      </c>
    </row>
    <row r="24" spans="1:7" x14ac:dyDescent="0.25">
      <c r="A24" s="45"/>
      <c r="B24" s="46"/>
      <c r="C24" s="47" t="s">
        <v>10</v>
      </c>
      <c r="D24" s="46">
        <v>3900</v>
      </c>
      <c r="E24" s="46">
        <v>195</v>
      </c>
      <c r="F24" s="46">
        <v>4000</v>
      </c>
      <c r="G24" s="48">
        <v>350</v>
      </c>
    </row>
    <row r="25" spans="1:7" x14ac:dyDescent="0.25">
      <c r="A25" s="42"/>
      <c r="B25" s="46"/>
      <c r="C25" s="47" t="s">
        <v>10</v>
      </c>
      <c r="D25" s="46">
        <v>3000</v>
      </c>
      <c r="E25" s="46">
        <v>500</v>
      </c>
      <c r="F25" s="43"/>
      <c r="G25" s="44"/>
    </row>
    <row r="26" spans="1:7" x14ac:dyDescent="0.25">
      <c r="A26" s="45"/>
      <c r="B26" s="46" t="s">
        <v>78</v>
      </c>
      <c r="C26" s="47" t="s">
        <v>7</v>
      </c>
      <c r="D26" s="46">
        <v>4400</v>
      </c>
      <c r="E26" s="46">
        <v>50</v>
      </c>
      <c r="F26" s="46"/>
      <c r="G26" s="48"/>
    </row>
    <row r="27" spans="1:7" x14ac:dyDescent="0.25">
      <c r="A27" s="45"/>
      <c r="B27" s="46"/>
      <c r="C27" s="47" t="s">
        <v>8</v>
      </c>
      <c r="D27" s="46">
        <v>5000</v>
      </c>
      <c r="E27" s="46"/>
      <c r="F27" s="43"/>
      <c r="G27" s="44"/>
    </row>
    <row r="28" spans="1:7" x14ac:dyDescent="0.25">
      <c r="A28" s="42"/>
      <c r="B28" s="43" t="s">
        <v>79</v>
      </c>
      <c r="C28" s="41" t="s">
        <v>7</v>
      </c>
      <c r="D28" s="43">
        <v>5000</v>
      </c>
      <c r="E28" s="43">
        <v>10</v>
      </c>
      <c r="F28" s="46"/>
      <c r="G28" s="48"/>
    </row>
    <row r="29" spans="1:7" x14ac:dyDescent="0.25">
      <c r="A29" s="45"/>
      <c r="B29" s="43"/>
      <c r="C29" s="41" t="s">
        <v>9</v>
      </c>
      <c r="D29" s="43">
        <v>5200</v>
      </c>
      <c r="E29" s="43"/>
      <c r="F29" s="46"/>
      <c r="G29" s="48"/>
    </row>
    <row r="30" spans="1:7" x14ac:dyDescent="0.25">
      <c r="A30" s="42"/>
      <c r="B30" s="43" t="s">
        <v>80</v>
      </c>
      <c r="C30" s="41" t="s">
        <v>7</v>
      </c>
      <c r="D30" s="43">
        <v>5000</v>
      </c>
      <c r="E30" s="43">
        <v>10</v>
      </c>
      <c r="F30" s="43"/>
      <c r="G30" s="44"/>
    </row>
    <row r="31" spans="1:7" x14ac:dyDescent="0.25">
      <c r="A31" s="45"/>
      <c r="B31" s="46"/>
      <c r="C31" s="47" t="s">
        <v>9</v>
      </c>
      <c r="D31" s="46">
        <v>5200</v>
      </c>
      <c r="E31" s="46"/>
      <c r="F31" s="43"/>
      <c r="G31" s="44"/>
    </row>
    <row r="32" spans="1:7" x14ac:dyDescent="0.25">
      <c r="A32" s="45"/>
      <c r="B32" s="46" t="s">
        <v>82</v>
      </c>
      <c r="C32" s="47" t="s">
        <v>10</v>
      </c>
      <c r="D32" s="46">
        <v>3000</v>
      </c>
      <c r="E32" s="46">
        <v>1</v>
      </c>
      <c r="F32" s="46"/>
      <c r="G32" s="48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6"/>
      <c r="C34" s="47"/>
      <c r="D34" s="46"/>
      <c r="E34" s="46"/>
      <c r="F34" s="43"/>
      <c r="G34" s="44"/>
    </row>
    <row r="35" spans="1:7" x14ac:dyDescent="0.25">
      <c r="A35" s="45"/>
      <c r="B35" s="46"/>
      <c r="C35" s="47"/>
      <c r="D35" s="46"/>
      <c r="E35" s="46"/>
      <c r="F35" s="43"/>
      <c r="G35" s="44"/>
    </row>
    <row r="36" spans="1:7" x14ac:dyDescent="0.25">
      <c r="A36" s="42"/>
      <c r="B36" s="46"/>
      <c r="C36" s="47"/>
      <c r="D36" s="46"/>
      <c r="E36" s="46"/>
      <c r="F36" s="46"/>
      <c r="G36" s="48"/>
    </row>
    <row r="37" spans="1:7" x14ac:dyDescent="0.25">
      <c r="A37" s="45"/>
      <c r="B37" s="43"/>
      <c r="C37" s="41"/>
      <c r="D37" s="43"/>
      <c r="E37" s="43"/>
      <c r="F37" s="43"/>
      <c r="G37" s="44"/>
    </row>
    <row r="38" spans="1:7" x14ac:dyDescent="0.25">
      <c r="A38" s="42"/>
      <c r="B38" s="46"/>
      <c r="C38" s="47"/>
      <c r="D38" s="46"/>
      <c r="E38" s="46"/>
      <c r="F38" s="46"/>
      <c r="G38" s="48"/>
    </row>
    <row r="39" spans="1:7" x14ac:dyDescent="0.25">
      <c r="A39" s="45"/>
      <c r="B39" s="43"/>
      <c r="C39" s="41"/>
      <c r="D39" s="43"/>
      <c r="E39" s="43"/>
      <c r="F39" s="43"/>
      <c r="G39" s="44"/>
    </row>
    <row r="40" spans="1:7" x14ac:dyDescent="0.25">
      <c r="A40" s="42"/>
      <c r="B40" s="46"/>
      <c r="C40" s="47"/>
      <c r="D40" s="46"/>
      <c r="E40" s="46"/>
      <c r="F40" s="46"/>
      <c r="G40" s="48"/>
    </row>
    <row r="41" spans="1:7" x14ac:dyDescent="0.25">
      <c r="A41" s="45"/>
      <c r="B41" s="46"/>
      <c r="C41" s="47"/>
      <c r="D41" s="46"/>
      <c r="E41" s="46"/>
      <c r="F41" s="43"/>
      <c r="G41" s="44"/>
    </row>
    <row r="42" spans="1:7" x14ac:dyDescent="0.25">
      <c r="A42" s="42"/>
      <c r="B42" s="46"/>
      <c r="C42" s="47"/>
      <c r="D42" s="46"/>
      <c r="E42" s="46"/>
      <c r="F42" s="46"/>
      <c r="G42" s="48"/>
    </row>
    <row r="43" spans="1:7" x14ac:dyDescent="0.25">
      <c r="A43" s="45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zoomScale="80" zoomScaleNormal="80" workbookViewId="0">
      <selection activeCell="G5" sqref="G5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8" ht="255.75" customHeight="1" x14ac:dyDescent="0.25"/>
    <row r="2" spans="1:8" ht="21" customHeight="1" x14ac:dyDescent="0.35">
      <c r="A2" s="38" t="s">
        <v>18</v>
      </c>
      <c r="B2" s="39" t="s">
        <v>208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8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8" ht="15.75" customHeight="1" x14ac:dyDescent="0.25">
      <c r="A5" s="26" t="s">
        <v>74</v>
      </c>
      <c r="B5" s="27">
        <v>3625</v>
      </c>
      <c r="C5" s="27">
        <v>725</v>
      </c>
      <c r="D5" s="27">
        <f>'SBRT PR+VS 5FX'!$B5/'SBRT PR+VS 5FX'!$C5</f>
        <v>5</v>
      </c>
      <c r="E5" s="28">
        <v>1</v>
      </c>
      <c r="G5" s="72" t="s">
        <v>209</v>
      </c>
      <c r="H5" s="35"/>
    </row>
    <row r="6" spans="1:8" ht="19.5" customHeight="1" x14ac:dyDescent="0.3">
      <c r="A6" s="9" t="s">
        <v>75</v>
      </c>
      <c r="B6" s="10">
        <v>2750</v>
      </c>
      <c r="C6" s="10">
        <v>550</v>
      </c>
      <c r="D6" s="54">
        <f>'SBRT PR+VS 5FX'!$B6/'SBRT PR+VS 5FX'!$C6</f>
        <v>5</v>
      </c>
      <c r="E6" s="11">
        <v>1</v>
      </c>
      <c r="H6" s="36"/>
    </row>
    <row r="8" spans="1:8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8" x14ac:dyDescent="0.25">
      <c r="A9" s="42" t="s">
        <v>33</v>
      </c>
      <c r="B9" s="43" t="s">
        <v>74</v>
      </c>
      <c r="C9" s="41" t="s">
        <v>3</v>
      </c>
      <c r="D9" s="43">
        <v>3553</v>
      </c>
      <c r="E9" s="43">
        <v>95</v>
      </c>
      <c r="F9" s="43"/>
      <c r="G9" s="44"/>
    </row>
    <row r="10" spans="1:8" x14ac:dyDescent="0.25">
      <c r="A10" s="45"/>
      <c r="B10" s="46"/>
      <c r="C10" s="47" t="s">
        <v>9</v>
      </c>
      <c r="D10" s="46">
        <v>4531</v>
      </c>
      <c r="E10" s="46"/>
      <c r="F10" s="46"/>
      <c r="G10" s="48"/>
    </row>
    <row r="11" spans="1:8" x14ac:dyDescent="0.25">
      <c r="A11" s="42"/>
      <c r="B11" s="43" t="s">
        <v>75</v>
      </c>
      <c r="C11" s="41" t="s">
        <v>3</v>
      </c>
      <c r="D11" s="43">
        <v>2695</v>
      </c>
      <c r="E11" s="43">
        <v>95</v>
      </c>
      <c r="F11" s="43"/>
      <c r="G11" s="44"/>
    </row>
    <row r="12" spans="1:8" x14ac:dyDescent="0.25">
      <c r="A12" s="45"/>
      <c r="B12" s="46"/>
      <c r="C12" s="47" t="s">
        <v>9</v>
      </c>
      <c r="D12" s="46">
        <v>3438</v>
      </c>
      <c r="E12" s="46"/>
      <c r="F12" s="46"/>
      <c r="G12" s="48"/>
    </row>
    <row r="13" spans="1:8" x14ac:dyDescent="0.25">
      <c r="A13" s="42" t="s">
        <v>37</v>
      </c>
      <c r="B13" s="43" t="s">
        <v>76</v>
      </c>
      <c r="C13" s="41" t="s">
        <v>7</v>
      </c>
      <c r="D13" s="43">
        <v>3200</v>
      </c>
      <c r="E13" s="43">
        <v>35</v>
      </c>
      <c r="F13" s="43"/>
      <c r="G13" s="44"/>
    </row>
    <row r="14" spans="1:8" x14ac:dyDescent="0.25">
      <c r="A14" s="45"/>
      <c r="B14" s="46"/>
      <c r="C14" s="47" t="s">
        <v>7</v>
      </c>
      <c r="D14" s="46">
        <v>2900</v>
      </c>
      <c r="E14" s="46">
        <v>50</v>
      </c>
      <c r="F14" s="46"/>
      <c r="G14" s="48"/>
    </row>
    <row r="15" spans="1:8" x14ac:dyDescent="0.25">
      <c r="A15" s="42"/>
      <c r="B15" s="43"/>
      <c r="C15" s="47" t="s">
        <v>10</v>
      </c>
      <c r="D15" s="46">
        <v>3300</v>
      </c>
      <c r="E15" s="46">
        <v>2</v>
      </c>
      <c r="F15" s="43"/>
      <c r="G15" s="44"/>
    </row>
    <row r="16" spans="1:8" x14ac:dyDescent="0.25">
      <c r="A16" s="45"/>
      <c r="B16" s="46"/>
      <c r="C16" s="47" t="s">
        <v>10</v>
      </c>
      <c r="D16" s="46">
        <v>3700</v>
      </c>
      <c r="E16" s="46">
        <v>1</v>
      </c>
      <c r="F16" s="46"/>
      <c r="G16" s="48"/>
    </row>
    <row r="17" spans="1:7" x14ac:dyDescent="0.25">
      <c r="A17" s="42"/>
      <c r="B17" s="43" t="s">
        <v>77</v>
      </c>
      <c r="C17" s="41" t="s">
        <v>7</v>
      </c>
      <c r="D17" s="43">
        <v>3200</v>
      </c>
      <c r="E17" s="43">
        <v>35</v>
      </c>
      <c r="F17" s="43"/>
      <c r="G17" s="44"/>
    </row>
    <row r="18" spans="1:7" x14ac:dyDescent="0.25">
      <c r="A18" s="45"/>
      <c r="B18" s="46"/>
      <c r="C18" s="47" t="s">
        <v>10</v>
      </c>
      <c r="D18" s="46">
        <v>3600</v>
      </c>
      <c r="E18" s="46">
        <v>1</v>
      </c>
      <c r="F18" s="46"/>
      <c r="G18" s="48"/>
    </row>
    <row r="19" spans="1:7" x14ac:dyDescent="0.25">
      <c r="A19" s="42"/>
      <c r="B19" s="43"/>
      <c r="C19" s="47" t="s">
        <v>10</v>
      </c>
      <c r="D19" s="46">
        <v>3200</v>
      </c>
      <c r="E19" s="46">
        <v>2</v>
      </c>
      <c r="F19" s="43"/>
      <c r="G19" s="44"/>
    </row>
    <row r="20" spans="1:7" x14ac:dyDescent="0.25">
      <c r="A20" s="45"/>
      <c r="B20" s="46"/>
      <c r="C20" s="47" t="s">
        <v>10</v>
      </c>
      <c r="D20" s="46">
        <v>3700</v>
      </c>
      <c r="E20" s="46">
        <v>10</v>
      </c>
      <c r="F20" s="46"/>
      <c r="G20" s="48"/>
    </row>
    <row r="21" spans="1:7" x14ac:dyDescent="0.25">
      <c r="A21" s="42"/>
      <c r="B21" s="46" t="s">
        <v>210</v>
      </c>
      <c r="C21" s="47" t="s">
        <v>9</v>
      </c>
      <c r="D21" s="46">
        <v>3800</v>
      </c>
      <c r="E21" s="46"/>
      <c r="F21" s="46">
        <v>4000</v>
      </c>
      <c r="G21" s="48"/>
    </row>
    <row r="22" spans="1:7" x14ac:dyDescent="0.25">
      <c r="A22" s="45"/>
      <c r="B22" s="46" t="s">
        <v>78</v>
      </c>
      <c r="C22" s="47" t="s">
        <v>7</v>
      </c>
      <c r="D22" s="46">
        <v>2950</v>
      </c>
      <c r="E22" s="46">
        <v>50</v>
      </c>
      <c r="F22" s="43"/>
      <c r="G22" s="44"/>
    </row>
    <row r="23" spans="1:7" x14ac:dyDescent="0.25">
      <c r="A23" s="42"/>
      <c r="B23" s="46" t="s">
        <v>84</v>
      </c>
      <c r="C23" s="47" t="s">
        <v>10</v>
      </c>
      <c r="D23" s="46">
        <v>2650</v>
      </c>
      <c r="E23" s="46">
        <v>5</v>
      </c>
      <c r="F23" s="46"/>
      <c r="G23" s="48"/>
    </row>
    <row r="24" spans="1:7" x14ac:dyDescent="0.25">
      <c r="A24" s="45"/>
      <c r="B24" s="43"/>
      <c r="C24" s="47" t="s">
        <v>9</v>
      </c>
      <c r="D24" s="46">
        <v>3000</v>
      </c>
      <c r="E24" s="43"/>
      <c r="F24" s="43"/>
      <c r="G24" s="44"/>
    </row>
    <row r="25" spans="1:7" x14ac:dyDescent="0.25">
      <c r="A25" s="42"/>
      <c r="B25" s="43" t="s">
        <v>79</v>
      </c>
      <c r="C25" s="47" t="s">
        <v>9</v>
      </c>
      <c r="D25" s="46">
        <v>1600</v>
      </c>
      <c r="E25" s="43"/>
      <c r="F25" s="46"/>
      <c r="G25" s="48"/>
    </row>
    <row r="26" spans="1:7" x14ac:dyDescent="0.25">
      <c r="A26" s="45"/>
      <c r="B26" s="43"/>
      <c r="C26" s="41" t="s">
        <v>7</v>
      </c>
      <c r="D26" s="43">
        <v>1600</v>
      </c>
      <c r="E26" s="43">
        <v>5</v>
      </c>
      <c r="F26" s="43"/>
      <c r="G26" s="44"/>
    </row>
    <row r="27" spans="1:7" x14ac:dyDescent="0.25">
      <c r="A27" s="45"/>
      <c r="B27" s="43" t="s">
        <v>80</v>
      </c>
      <c r="C27" s="47" t="s">
        <v>9</v>
      </c>
      <c r="D27" s="46">
        <v>1600</v>
      </c>
      <c r="E27" s="43"/>
      <c r="F27" s="46"/>
      <c r="G27" s="48"/>
    </row>
    <row r="28" spans="1:7" x14ac:dyDescent="0.25">
      <c r="A28" s="42"/>
      <c r="B28" s="46"/>
      <c r="C28" s="41" t="s">
        <v>7</v>
      </c>
      <c r="D28" s="43">
        <v>1600</v>
      </c>
      <c r="E28" s="43">
        <v>5</v>
      </c>
      <c r="F28" s="46"/>
      <c r="G28" s="48"/>
    </row>
    <row r="29" spans="1:7" x14ac:dyDescent="0.25">
      <c r="A29" s="45"/>
      <c r="B29" s="43" t="s">
        <v>211</v>
      </c>
      <c r="C29" s="47" t="s">
        <v>9</v>
      </c>
      <c r="D29" s="46">
        <v>3000</v>
      </c>
      <c r="E29" s="43"/>
      <c r="F29" s="43"/>
      <c r="G29" s="44"/>
    </row>
    <row r="30" spans="1:7" x14ac:dyDescent="0.25">
      <c r="A30" s="42"/>
      <c r="B30" s="46"/>
      <c r="C30" s="47" t="s">
        <v>10</v>
      </c>
      <c r="D30" s="46">
        <v>3250</v>
      </c>
      <c r="E30" s="46">
        <v>20</v>
      </c>
      <c r="F30" s="46"/>
      <c r="G30" s="48"/>
    </row>
    <row r="31" spans="1:7" x14ac:dyDescent="0.25">
      <c r="A31" s="45"/>
      <c r="B31" s="46"/>
      <c r="C31" s="47" t="s">
        <v>10</v>
      </c>
      <c r="D31" s="46">
        <v>2800</v>
      </c>
      <c r="E31" s="46">
        <v>5</v>
      </c>
      <c r="F31" s="46"/>
      <c r="G31" s="48"/>
    </row>
    <row r="32" spans="1:7" x14ac:dyDescent="0.25">
      <c r="A32" s="42"/>
      <c r="B32" s="46" t="s">
        <v>212</v>
      </c>
      <c r="C32" s="47" t="s">
        <v>9</v>
      </c>
      <c r="D32" s="46">
        <v>3806</v>
      </c>
      <c r="E32" s="46"/>
      <c r="F32" s="46"/>
      <c r="G32" s="48"/>
    </row>
    <row r="33" spans="1:7" x14ac:dyDescent="0.25">
      <c r="A33" s="42"/>
      <c r="B33" s="46"/>
      <c r="C33" s="47"/>
      <c r="D33" s="46"/>
      <c r="E33" s="46"/>
      <c r="F33" s="46"/>
      <c r="G33" s="48"/>
    </row>
    <row r="34" spans="1:7" x14ac:dyDescent="0.25">
      <c r="A34" s="45"/>
      <c r="B34" s="46"/>
      <c r="C34" s="47"/>
      <c r="D34" s="46"/>
      <c r="E34" s="46"/>
      <c r="F34" s="43"/>
      <c r="G34" s="44"/>
    </row>
    <row r="35" spans="1:7" x14ac:dyDescent="0.25">
      <c r="A35" s="42"/>
      <c r="B35" s="46"/>
      <c r="C35" s="47"/>
      <c r="D35" s="46"/>
      <c r="E35" s="46"/>
      <c r="F35" s="46"/>
      <c r="G35" s="48"/>
    </row>
    <row r="36" spans="1:7" x14ac:dyDescent="0.25">
      <c r="A36" s="45"/>
      <c r="B36" s="43"/>
      <c r="C36" s="41"/>
      <c r="D36" s="43"/>
      <c r="E36" s="43"/>
      <c r="F36" s="43"/>
      <c r="G36" s="44"/>
    </row>
    <row r="37" spans="1:7" x14ac:dyDescent="0.25">
      <c r="A37" s="42"/>
      <c r="B37" s="46"/>
      <c r="C37" s="47"/>
      <c r="D37" s="46"/>
      <c r="E37" s="46"/>
      <c r="F37" s="46"/>
      <c r="G37" s="48"/>
    </row>
    <row r="38" spans="1:7" x14ac:dyDescent="0.25">
      <c r="A38" s="45"/>
      <c r="B38" s="43"/>
      <c r="C38" s="41"/>
      <c r="D38" s="43"/>
      <c r="E38" s="43"/>
      <c r="F38" s="43"/>
      <c r="G38" s="44"/>
    </row>
    <row r="39" spans="1:7" x14ac:dyDescent="0.25">
      <c r="A39" s="45"/>
      <c r="B39" s="43"/>
      <c r="C39" s="41"/>
      <c r="D39" s="43"/>
      <c r="E39" s="43"/>
      <c r="F39" s="43"/>
      <c r="G39" s="44"/>
    </row>
    <row r="40" spans="1:7" x14ac:dyDescent="0.25">
      <c r="A40" s="42"/>
      <c r="B40" s="46"/>
      <c r="C40" s="47"/>
      <c r="D40" s="46"/>
      <c r="E40" s="46"/>
      <c r="F40" s="46"/>
      <c r="G40" s="48"/>
    </row>
    <row r="41" spans="1:7" x14ac:dyDescent="0.25">
      <c r="A41" s="45"/>
      <c r="B41" s="46"/>
      <c r="C41" s="47"/>
      <c r="D41" s="46"/>
      <c r="E41" s="46"/>
      <c r="F41" s="43"/>
      <c r="G41" s="44"/>
    </row>
    <row r="42" spans="1:7" x14ac:dyDescent="0.25">
      <c r="A42" s="42"/>
      <c r="B42" s="46"/>
      <c r="C42" s="47"/>
      <c r="D42" s="46"/>
      <c r="E42" s="46"/>
      <c r="F42" s="46"/>
      <c r="G42" s="48"/>
    </row>
    <row r="43" spans="1:7" x14ac:dyDescent="0.25">
      <c r="A43" s="45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General!$E$3:$E$22</xm:f>
          </x14:formula1>
          <xm:sqref>G5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zoomScale="80" zoomScaleNormal="80" workbookViewId="0">
      <selection activeCell="C28" sqref="C28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90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91</v>
      </c>
      <c r="B5" s="27">
        <v>4600</v>
      </c>
      <c r="C5" s="27">
        <v>200</v>
      </c>
      <c r="D5" s="27">
        <f>'CERVIX 4600-23FX'!$B5/'CERVIX 4600-23FX'!$C5</f>
        <v>23</v>
      </c>
      <c r="E5" s="28">
        <v>1</v>
      </c>
      <c r="G5" s="72" t="s">
        <v>122</v>
      </c>
      <c r="H5" s="35"/>
    </row>
    <row r="6" spans="1:9" ht="19.5" customHeight="1" x14ac:dyDescent="0.3">
      <c r="H6" s="36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  <c r="I7" s="34"/>
    </row>
    <row r="8" spans="1:9" x14ac:dyDescent="0.25">
      <c r="A8" t="s">
        <v>33</v>
      </c>
      <c r="B8" t="s">
        <v>91</v>
      </c>
      <c r="C8" s="41" t="s">
        <v>3</v>
      </c>
      <c r="D8">
        <v>4508</v>
      </c>
      <c r="E8">
        <v>95</v>
      </c>
    </row>
    <row r="9" spans="1:9" x14ac:dyDescent="0.25">
      <c r="A9" s="75"/>
      <c r="B9" s="75"/>
      <c r="C9" s="77" t="s">
        <v>9</v>
      </c>
      <c r="D9" s="75">
        <v>4922</v>
      </c>
      <c r="E9" s="75"/>
      <c r="F9" s="75"/>
      <c r="G9" s="75"/>
    </row>
    <row r="10" spans="1:9" x14ac:dyDescent="0.25">
      <c r="A10" s="75"/>
      <c r="B10" s="75" t="s">
        <v>53</v>
      </c>
      <c r="C10" s="41" t="s">
        <v>3</v>
      </c>
      <c r="D10" s="75">
        <v>4508</v>
      </c>
      <c r="E10" s="75">
        <v>95</v>
      </c>
      <c r="F10" s="75"/>
      <c r="G10" s="75"/>
    </row>
    <row r="11" spans="1:9" x14ac:dyDescent="0.25">
      <c r="A11" s="75"/>
      <c r="B11" s="75"/>
      <c r="C11" s="77" t="s">
        <v>9</v>
      </c>
      <c r="D11" s="75">
        <v>4922</v>
      </c>
      <c r="E11" s="75"/>
      <c r="F11" s="75"/>
      <c r="G11" s="75"/>
    </row>
    <row r="12" spans="1:9" x14ac:dyDescent="0.25">
      <c r="A12" s="75" t="s">
        <v>37</v>
      </c>
      <c r="B12" s="75" t="s">
        <v>76</v>
      </c>
      <c r="C12" s="77" t="s">
        <v>7</v>
      </c>
      <c r="D12" s="75">
        <v>5000</v>
      </c>
      <c r="E12" s="75">
        <v>50</v>
      </c>
      <c r="F12" s="75"/>
      <c r="G12" s="75"/>
    </row>
    <row r="13" spans="1:9" x14ac:dyDescent="0.25">
      <c r="A13" s="75"/>
      <c r="B13" s="75"/>
      <c r="C13" s="76" t="s">
        <v>7</v>
      </c>
      <c r="D13" s="75">
        <v>4000</v>
      </c>
      <c r="E13" s="75">
        <v>40</v>
      </c>
      <c r="F13" s="75">
        <v>4000</v>
      </c>
      <c r="G13" s="75">
        <v>60</v>
      </c>
    </row>
    <row r="14" spans="1:9" x14ac:dyDescent="0.25">
      <c r="A14" s="75"/>
      <c r="B14" s="75" t="s">
        <v>77</v>
      </c>
      <c r="C14" s="77" t="s">
        <v>7</v>
      </c>
      <c r="D14" s="75">
        <v>4500</v>
      </c>
      <c r="E14" s="75">
        <v>35</v>
      </c>
      <c r="F14" s="75"/>
      <c r="G14" s="75"/>
    </row>
    <row r="15" spans="1:9" x14ac:dyDescent="0.25">
      <c r="A15" s="75"/>
      <c r="B15" s="75"/>
      <c r="C15" s="76" t="s">
        <v>7</v>
      </c>
      <c r="D15" s="75">
        <v>4000</v>
      </c>
      <c r="E15" s="75">
        <v>40</v>
      </c>
      <c r="F15" s="75">
        <v>4000</v>
      </c>
      <c r="G15" s="75">
        <v>60</v>
      </c>
    </row>
    <row r="16" spans="1:9" x14ac:dyDescent="0.25">
      <c r="A16" s="75"/>
      <c r="B16" s="75" t="s">
        <v>84</v>
      </c>
      <c r="C16" s="76" t="s">
        <v>9</v>
      </c>
      <c r="D16" s="75">
        <v>4600</v>
      </c>
      <c r="E16" s="75"/>
      <c r="F16" s="75">
        <v>5000</v>
      </c>
      <c r="G16" s="75"/>
    </row>
    <row r="17" spans="1:10" x14ac:dyDescent="0.25">
      <c r="A17" s="75"/>
      <c r="B17" s="75"/>
      <c r="C17" s="76" t="s">
        <v>10</v>
      </c>
      <c r="D17" s="75">
        <v>4500</v>
      </c>
      <c r="E17" s="75">
        <v>40</v>
      </c>
      <c r="F17" s="75">
        <v>4500</v>
      </c>
      <c r="G17" s="75">
        <v>65</v>
      </c>
    </row>
    <row r="18" spans="1:10" x14ac:dyDescent="0.25">
      <c r="A18" s="75"/>
      <c r="B18" s="75"/>
      <c r="C18" s="76" t="s">
        <v>10</v>
      </c>
      <c r="D18" s="75">
        <v>4000</v>
      </c>
      <c r="E18" s="75">
        <v>100</v>
      </c>
      <c r="F18" s="75"/>
      <c r="G18" s="75"/>
      <c r="J18" s="81"/>
    </row>
    <row r="19" spans="1:10" x14ac:dyDescent="0.25">
      <c r="A19" s="75"/>
      <c r="B19" s="75"/>
      <c r="C19" s="76" t="s">
        <v>10</v>
      </c>
      <c r="D19" s="75">
        <v>3500</v>
      </c>
      <c r="E19" s="75">
        <v>300</v>
      </c>
      <c r="F19" s="75"/>
      <c r="G19" s="75"/>
      <c r="J19" s="81"/>
    </row>
    <row r="20" spans="1:10" x14ac:dyDescent="0.25">
      <c r="A20" s="75"/>
      <c r="B20" s="75"/>
      <c r="C20" s="76" t="s">
        <v>7</v>
      </c>
      <c r="D20" s="75">
        <v>3500</v>
      </c>
      <c r="E20" s="75">
        <v>35</v>
      </c>
      <c r="F20" s="75"/>
      <c r="G20" s="75"/>
      <c r="J20" s="81"/>
    </row>
    <row r="21" spans="1:10" x14ac:dyDescent="0.25">
      <c r="A21" s="75"/>
      <c r="B21" s="75"/>
      <c r="C21" s="76" t="s">
        <v>10</v>
      </c>
      <c r="D21" s="75">
        <v>3000</v>
      </c>
      <c r="E21" s="75">
        <v>400</v>
      </c>
      <c r="F21" s="75"/>
      <c r="G21" s="75"/>
      <c r="J21" s="81"/>
    </row>
    <row r="22" spans="1:10" x14ac:dyDescent="0.25">
      <c r="A22" s="75"/>
      <c r="B22" s="75" t="s">
        <v>79</v>
      </c>
      <c r="C22" s="77" t="s">
        <v>9</v>
      </c>
      <c r="D22" s="75">
        <v>5000</v>
      </c>
      <c r="E22" s="75"/>
      <c r="F22" s="75"/>
      <c r="G22" s="75"/>
      <c r="J22" s="81"/>
    </row>
    <row r="23" spans="1:10" x14ac:dyDescent="0.25">
      <c r="A23" s="75"/>
      <c r="B23" s="75"/>
      <c r="C23" s="77" t="s">
        <v>7</v>
      </c>
      <c r="D23" s="75">
        <v>4500</v>
      </c>
      <c r="E23" s="75">
        <v>25</v>
      </c>
      <c r="F23" s="75"/>
      <c r="G23" s="75"/>
      <c r="J23" s="81"/>
    </row>
    <row r="24" spans="1:10" x14ac:dyDescent="0.25">
      <c r="A24" s="75"/>
      <c r="B24" s="75"/>
      <c r="C24" s="77" t="s">
        <v>7</v>
      </c>
      <c r="D24" s="75">
        <v>4000</v>
      </c>
      <c r="E24" s="75">
        <v>40</v>
      </c>
      <c r="F24" s="75"/>
      <c r="G24" s="75"/>
      <c r="J24" s="81"/>
    </row>
    <row r="25" spans="1:10" x14ac:dyDescent="0.25">
      <c r="A25" s="75"/>
      <c r="B25" s="75" t="s">
        <v>80</v>
      </c>
      <c r="C25" s="77" t="s">
        <v>9</v>
      </c>
      <c r="D25" s="75">
        <v>5000</v>
      </c>
      <c r="E25" s="75"/>
      <c r="F25" s="75"/>
      <c r="G25" s="75"/>
      <c r="J25" s="81"/>
    </row>
    <row r="26" spans="1:10" x14ac:dyDescent="0.25">
      <c r="A26" s="75"/>
      <c r="B26" s="75"/>
      <c r="C26" s="77" t="s">
        <v>7</v>
      </c>
      <c r="D26" s="75">
        <v>4500</v>
      </c>
      <c r="E26" s="75">
        <v>25</v>
      </c>
      <c r="F26" s="75"/>
      <c r="G26" s="75"/>
      <c r="J26" s="81"/>
    </row>
    <row r="27" spans="1:10" x14ac:dyDescent="0.25">
      <c r="A27" s="75"/>
      <c r="B27" s="75"/>
      <c r="C27" s="77" t="s">
        <v>7</v>
      </c>
      <c r="D27" s="75">
        <v>4000</v>
      </c>
      <c r="E27" s="75">
        <v>40</v>
      </c>
      <c r="F27" s="75"/>
      <c r="G27" s="75"/>
      <c r="J27" s="81"/>
    </row>
    <row r="28" spans="1:10" x14ac:dyDescent="0.25">
      <c r="A28" s="75"/>
      <c r="B28" s="75" t="s">
        <v>85</v>
      </c>
      <c r="C28" s="77" t="s">
        <v>9</v>
      </c>
      <c r="D28" s="75">
        <v>5000</v>
      </c>
      <c r="E28" s="75"/>
      <c r="F28" s="75"/>
      <c r="G28" s="75"/>
      <c r="J28" s="81"/>
    </row>
    <row r="29" spans="1:10" x14ac:dyDescent="0.25">
      <c r="A29" s="75"/>
      <c r="B29" s="75" t="s">
        <v>92</v>
      </c>
      <c r="C29" s="77" t="s">
        <v>9</v>
      </c>
      <c r="D29" s="75">
        <v>4830</v>
      </c>
      <c r="E29" s="75"/>
      <c r="F29" s="75"/>
      <c r="G29" s="75"/>
      <c r="J29" s="81"/>
    </row>
    <row r="30" spans="1:10" x14ac:dyDescent="0.25">
      <c r="A30" s="78"/>
      <c r="B30" s="78" t="s">
        <v>138</v>
      </c>
      <c r="C30" s="76" t="s">
        <v>7</v>
      </c>
      <c r="D30" s="78">
        <v>1800</v>
      </c>
      <c r="E30" s="78">
        <v>15</v>
      </c>
      <c r="F30" s="78"/>
      <c r="G30" s="78"/>
      <c r="J30" s="81"/>
    </row>
    <row r="31" spans="1:10" x14ac:dyDescent="0.25">
      <c r="A31" s="79"/>
      <c r="B31" s="79"/>
      <c r="C31" s="76" t="s">
        <v>7</v>
      </c>
      <c r="D31" s="79">
        <v>1400</v>
      </c>
      <c r="E31" s="79">
        <v>30</v>
      </c>
      <c r="F31" s="79"/>
      <c r="G31" s="79"/>
      <c r="J31" s="81"/>
    </row>
    <row r="32" spans="1:10" x14ac:dyDescent="0.25">
      <c r="A32" s="78"/>
      <c r="B32" s="78" t="s">
        <v>139</v>
      </c>
      <c r="C32" s="76" t="s">
        <v>7</v>
      </c>
      <c r="D32" s="78">
        <v>1800</v>
      </c>
      <c r="E32" s="78">
        <v>15</v>
      </c>
      <c r="F32" s="78"/>
      <c r="G32" s="78"/>
      <c r="J32" s="81"/>
    </row>
    <row r="33" spans="1:10" x14ac:dyDescent="0.25">
      <c r="A33" s="79"/>
      <c r="B33" s="79"/>
      <c r="C33" s="76" t="s">
        <v>7</v>
      </c>
      <c r="D33" s="79">
        <v>1400</v>
      </c>
      <c r="E33" s="79">
        <v>30</v>
      </c>
      <c r="F33" s="79"/>
      <c r="G33" s="79"/>
      <c r="J33" s="81"/>
    </row>
    <row r="34" spans="1:10" x14ac:dyDescent="0.25">
      <c r="A34" s="78"/>
      <c r="B34" s="75" t="s">
        <v>54</v>
      </c>
      <c r="C34" s="77" t="s">
        <v>9</v>
      </c>
      <c r="D34" s="75">
        <v>4500</v>
      </c>
      <c r="E34" s="78"/>
      <c r="F34" s="78"/>
      <c r="G34" s="78"/>
      <c r="J34" s="81"/>
    </row>
    <row r="35" spans="1:10" x14ac:dyDescent="0.25">
      <c r="A35" s="79"/>
      <c r="B35" s="79" t="s">
        <v>154</v>
      </c>
      <c r="C35" s="76" t="s">
        <v>7</v>
      </c>
      <c r="D35" s="79">
        <v>3000</v>
      </c>
      <c r="E35" s="79">
        <v>30</v>
      </c>
      <c r="F35" s="79">
        <v>4800</v>
      </c>
      <c r="G35" s="79">
        <v>33</v>
      </c>
      <c r="J35" s="81"/>
    </row>
    <row r="36" spans="1:10" x14ac:dyDescent="0.25">
      <c r="A36" s="78"/>
      <c r="B36" s="78"/>
      <c r="C36" s="41" t="s">
        <v>8</v>
      </c>
      <c r="D36" s="78">
        <v>2500</v>
      </c>
      <c r="E36" s="78"/>
      <c r="F36" s="78">
        <v>3000</v>
      </c>
      <c r="G36" s="78"/>
    </row>
    <row r="37" spans="1:10" x14ac:dyDescent="0.25">
      <c r="A37" s="79"/>
      <c r="B37" s="79"/>
      <c r="C37" s="77"/>
      <c r="D37" s="79"/>
      <c r="E37" s="79"/>
      <c r="F37" s="79"/>
      <c r="G37" s="79"/>
    </row>
    <row r="38" spans="1:10" x14ac:dyDescent="0.25">
      <c r="A38" s="78"/>
      <c r="B38" s="78"/>
      <c r="C38" s="76"/>
      <c r="D38" s="78"/>
      <c r="E38" s="78"/>
      <c r="F38" s="78"/>
      <c r="G38" s="78"/>
    </row>
    <row r="39" spans="1:10" x14ac:dyDescent="0.25">
      <c r="A39" s="79"/>
      <c r="B39" s="79"/>
      <c r="C39" s="77"/>
      <c r="D39" s="79"/>
      <c r="E39" s="79"/>
      <c r="F39" s="79"/>
      <c r="G39" s="79"/>
    </row>
    <row r="40" spans="1:10" x14ac:dyDescent="0.25">
      <c r="A40" s="78"/>
      <c r="B40" s="78"/>
      <c r="C40" s="76"/>
      <c r="D40" s="78"/>
      <c r="E40" s="78"/>
      <c r="F40" s="78"/>
      <c r="G40" s="78"/>
    </row>
    <row r="41" spans="1:10" x14ac:dyDescent="0.25">
      <c r="A41" s="79"/>
      <c r="B41" s="79"/>
      <c r="C41" s="77"/>
      <c r="D41" s="79"/>
      <c r="E41" s="79"/>
      <c r="F41" s="79"/>
      <c r="G41" s="79"/>
    </row>
    <row r="42" spans="1:10" x14ac:dyDescent="0.25">
      <c r="A42" s="78"/>
      <c r="B42" s="78"/>
      <c r="C42" s="76"/>
      <c r="D42" s="78"/>
      <c r="E42" s="78"/>
      <c r="F42" s="78"/>
      <c r="G42" s="78"/>
    </row>
    <row r="43" spans="1:10" x14ac:dyDescent="0.25">
      <c r="A43" s="79"/>
      <c r="B43" s="79"/>
      <c r="C43" s="77"/>
      <c r="D43" s="79"/>
      <c r="E43" s="79"/>
      <c r="F43" s="79"/>
      <c r="G43" s="79"/>
    </row>
    <row r="44" spans="1:10" x14ac:dyDescent="0.25">
      <c r="A44" s="78"/>
      <c r="B44" s="78"/>
      <c r="C44" s="76"/>
      <c r="D44" s="78"/>
      <c r="E44" s="78"/>
      <c r="F44" s="78"/>
      <c r="G44" s="78"/>
    </row>
    <row r="45" spans="1:10" x14ac:dyDescent="0.25">
      <c r="A45" s="79"/>
      <c r="B45" s="79"/>
      <c r="C45" s="77"/>
      <c r="D45" s="79"/>
      <c r="E45" s="79"/>
      <c r="F45" s="79"/>
      <c r="G45" s="79"/>
    </row>
    <row r="46" spans="1:10" x14ac:dyDescent="0.25">
      <c r="A46" s="75" t="s">
        <v>41</v>
      </c>
      <c r="B46" s="75"/>
      <c r="C46" s="80"/>
      <c r="D46" s="75"/>
      <c r="E46" s="75"/>
      <c r="F46" s="75"/>
      <c r="G46" s="75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opLeftCell="A13" zoomScale="80" zoomScaleNormal="80" workbookViewId="0">
      <selection activeCell="D26" sqref="D26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151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91</v>
      </c>
      <c r="B5" s="27">
        <v>4600</v>
      </c>
      <c r="C5" s="27">
        <v>200</v>
      </c>
      <c r="D5" s="27">
        <f>'ENDOMETRIO 4600-23FX'!$B5/'ENDOMETRIO 4600-23FX'!$C5</f>
        <v>23</v>
      </c>
      <c r="E5" s="28">
        <v>1</v>
      </c>
      <c r="G5" s="72" t="s">
        <v>122</v>
      </c>
      <c r="H5" s="35"/>
    </row>
    <row r="6" spans="1:9" ht="19.5" customHeight="1" x14ac:dyDescent="0.3">
      <c r="H6" s="36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  <c r="I7" s="34"/>
    </row>
    <row r="8" spans="1:9" x14ac:dyDescent="0.25">
      <c r="A8" s="72" t="s">
        <v>33</v>
      </c>
      <c r="B8" s="72" t="s">
        <v>91</v>
      </c>
      <c r="C8" s="41" t="s">
        <v>3</v>
      </c>
      <c r="D8" s="72">
        <v>4508</v>
      </c>
      <c r="E8" s="72">
        <v>95</v>
      </c>
    </row>
    <row r="9" spans="1:9" x14ac:dyDescent="0.25">
      <c r="A9" s="75"/>
      <c r="B9" s="75"/>
      <c r="C9" s="77" t="s">
        <v>9</v>
      </c>
      <c r="D9" s="75">
        <v>4922</v>
      </c>
      <c r="E9" s="75"/>
      <c r="F9" s="75"/>
      <c r="G9" s="75"/>
    </row>
    <row r="10" spans="1:9" x14ac:dyDescent="0.25">
      <c r="A10" s="75"/>
      <c r="B10" s="75" t="s">
        <v>53</v>
      </c>
      <c r="C10" s="41" t="s">
        <v>3</v>
      </c>
      <c r="D10" s="75">
        <v>4508</v>
      </c>
      <c r="E10" s="75">
        <v>95</v>
      </c>
      <c r="F10" s="75"/>
      <c r="G10" s="75"/>
    </row>
    <row r="11" spans="1:9" x14ac:dyDescent="0.25">
      <c r="A11" s="75"/>
      <c r="B11" s="75"/>
      <c r="C11" s="77" t="s">
        <v>9</v>
      </c>
      <c r="D11" s="75">
        <v>4922</v>
      </c>
      <c r="E11" s="75"/>
      <c r="F11" s="75"/>
      <c r="G11" s="75"/>
    </row>
    <row r="12" spans="1:9" x14ac:dyDescent="0.25">
      <c r="A12" s="75" t="s">
        <v>37</v>
      </c>
      <c r="B12" s="75" t="s">
        <v>76</v>
      </c>
      <c r="C12" s="77" t="s">
        <v>7</v>
      </c>
      <c r="D12" s="75">
        <v>5000</v>
      </c>
      <c r="E12" s="75">
        <v>50</v>
      </c>
      <c r="F12" s="75"/>
      <c r="G12" s="75"/>
    </row>
    <row r="13" spans="1:9" x14ac:dyDescent="0.25">
      <c r="A13" s="75"/>
      <c r="B13" s="75"/>
      <c r="C13" s="76" t="s">
        <v>7</v>
      </c>
      <c r="D13" s="75">
        <v>4000</v>
      </c>
      <c r="E13" s="75">
        <v>40</v>
      </c>
      <c r="F13" s="75">
        <v>4000</v>
      </c>
      <c r="G13" s="75">
        <v>60</v>
      </c>
    </row>
    <row r="14" spans="1:9" x14ac:dyDescent="0.25">
      <c r="A14" s="75"/>
      <c r="B14" s="75" t="s">
        <v>77</v>
      </c>
      <c r="C14" s="77" t="s">
        <v>7</v>
      </c>
      <c r="D14" s="75">
        <v>4500</v>
      </c>
      <c r="E14" s="75">
        <v>35</v>
      </c>
      <c r="F14" s="75"/>
      <c r="G14" s="75"/>
    </row>
    <row r="15" spans="1:9" x14ac:dyDescent="0.25">
      <c r="A15" s="75"/>
      <c r="B15" s="75"/>
      <c r="C15" s="76" t="s">
        <v>7</v>
      </c>
      <c r="D15" s="75">
        <v>4000</v>
      </c>
      <c r="E15" s="75">
        <v>40</v>
      </c>
      <c r="F15" s="75">
        <v>4000</v>
      </c>
      <c r="G15" s="75">
        <v>60</v>
      </c>
    </row>
    <row r="16" spans="1:9" x14ac:dyDescent="0.25">
      <c r="A16" s="75"/>
      <c r="B16" s="75" t="s">
        <v>84</v>
      </c>
      <c r="C16" s="76" t="s">
        <v>9</v>
      </c>
      <c r="D16" s="75">
        <v>4600</v>
      </c>
      <c r="E16" s="75"/>
      <c r="F16" s="75">
        <v>5000</v>
      </c>
      <c r="G16" s="75"/>
    </row>
    <row r="17" spans="1:10" x14ac:dyDescent="0.25">
      <c r="A17" s="75"/>
      <c r="B17" s="75"/>
      <c r="C17" s="76" t="s">
        <v>10</v>
      </c>
      <c r="D17" s="75">
        <v>4500</v>
      </c>
      <c r="E17" s="75">
        <v>40</v>
      </c>
      <c r="F17" s="75">
        <v>4500</v>
      </c>
      <c r="G17" s="75">
        <v>65</v>
      </c>
    </row>
    <row r="18" spans="1:10" x14ac:dyDescent="0.25">
      <c r="A18" s="75"/>
      <c r="B18" s="75"/>
      <c r="C18" s="76" t="s">
        <v>10</v>
      </c>
      <c r="D18" s="75">
        <v>4000</v>
      </c>
      <c r="E18" s="75">
        <v>100</v>
      </c>
      <c r="F18" s="75"/>
      <c r="G18" s="75"/>
      <c r="J18" s="81"/>
    </row>
    <row r="19" spans="1:10" x14ac:dyDescent="0.25">
      <c r="A19" s="75"/>
      <c r="B19" s="75"/>
      <c r="C19" s="76" t="s">
        <v>10</v>
      </c>
      <c r="D19" s="75">
        <v>3500</v>
      </c>
      <c r="E19" s="75">
        <v>300</v>
      </c>
      <c r="F19" s="75"/>
      <c r="G19" s="75"/>
      <c r="J19" s="81"/>
    </row>
    <row r="20" spans="1:10" x14ac:dyDescent="0.25">
      <c r="A20" s="75"/>
      <c r="B20" s="75"/>
      <c r="C20" s="76" t="s">
        <v>7</v>
      </c>
      <c r="D20" s="75">
        <v>3500</v>
      </c>
      <c r="E20" s="75">
        <v>35</v>
      </c>
      <c r="F20" s="75"/>
      <c r="G20" s="75"/>
      <c r="J20" s="81"/>
    </row>
    <row r="21" spans="1:10" x14ac:dyDescent="0.25">
      <c r="A21" s="75"/>
      <c r="B21" s="75"/>
      <c r="C21" s="76" t="s">
        <v>10</v>
      </c>
      <c r="D21" s="75">
        <v>3000</v>
      </c>
      <c r="E21" s="75">
        <v>400</v>
      </c>
      <c r="F21" s="75"/>
      <c r="G21" s="75"/>
      <c r="J21" s="81"/>
    </row>
    <row r="22" spans="1:10" x14ac:dyDescent="0.25">
      <c r="A22" s="75"/>
      <c r="B22" s="75" t="s">
        <v>79</v>
      </c>
      <c r="C22" s="77" t="s">
        <v>9</v>
      </c>
      <c r="D22" s="75">
        <v>5000</v>
      </c>
      <c r="E22" s="75"/>
      <c r="F22" s="75"/>
      <c r="G22" s="75"/>
      <c r="J22" s="81"/>
    </row>
    <row r="23" spans="1:10" x14ac:dyDescent="0.25">
      <c r="A23" s="75"/>
      <c r="B23" s="75"/>
      <c r="C23" s="77" t="s">
        <v>7</v>
      </c>
      <c r="D23" s="75">
        <v>4500</v>
      </c>
      <c r="E23" s="75">
        <v>25</v>
      </c>
      <c r="F23" s="75"/>
      <c r="G23" s="75"/>
      <c r="J23" s="81"/>
    </row>
    <row r="24" spans="1:10" x14ac:dyDescent="0.25">
      <c r="A24" s="75"/>
      <c r="B24" s="75"/>
      <c r="C24" s="77" t="s">
        <v>7</v>
      </c>
      <c r="D24" s="75">
        <v>4000</v>
      </c>
      <c r="E24" s="75">
        <v>40</v>
      </c>
      <c r="F24" s="75"/>
      <c r="G24" s="75"/>
      <c r="J24" s="81"/>
    </row>
    <row r="25" spans="1:10" x14ac:dyDescent="0.25">
      <c r="A25" s="75"/>
      <c r="B25" s="75" t="s">
        <v>80</v>
      </c>
      <c r="C25" s="77" t="s">
        <v>9</v>
      </c>
      <c r="D25" s="75">
        <v>5000</v>
      </c>
      <c r="E25" s="75"/>
      <c r="F25" s="75"/>
      <c r="G25" s="75"/>
      <c r="J25" s="81"/>
    </row>
    <row r="26" spans="1:10" x14ac:dyDescent="0.25">
      <c r="A26" s="75"/>
      <c r="B26" s="75"/>
      <c r="C26" s="77" t="s">
        <v>7</v>
      </c>
      <c r="D26" s="75">
        <v>4500</v>
      </c>
      <c r="E26" s="75">
        <v>25</v>
      </c>
      <c r="F26" s="75"/>
      <c r="G26" s="75"/>
      <c r="J26" s="81"/>
    </row>
    <row r="27" spans="1:10" x14ac:dyDescent="0.25">
      <c r="A27" s="75"/>
      <c r="B27" s="75"/>
      <c r="C27" s="77" t="s">
        <v>7</v>
      </c>
      <c r="D27" s="75">
        <v>4000</v>
      </c>
      <c r="E27" s="75">
        <v>40</v>
      </c>
      <c r="F27" s="75"/>
      <c r="G27" s="75"/>
      <c r="J27" s="81"/>
    </row>
    <row r="28" spans="1:10" x14ac:dyDescent="0.25">
      <c r="A28" s="75"/>
      <c r="B28" s="75" t="s">
        <v>85</v>
      </c>
      <c r="C28" s="77" t="s">
        <v>9</v>
      </c>
      <c r="D28" s="75">
        <v>5000</v>
      </c>
      <c r="E28" s="75"/>
      <c r="F28" s="75"/>
      <c r="G28" s="75"/>
      <c r="J28" s="81"/>
    </row>
    <row r="29" spans="1:10" x14ac:dyDescent="0.25">
      <c r="A29" s="75"/>
      <c r="B29" s="75" t="s">
        <v>92</v>
      </c>
      <c r="C29" s="77" t="s">
        <v>9</v>
      </c>
      <c r="D29" s="75">
        <v>4830</v>
      </c>
      <c r="E29" s="75"/>
      <c r="F29" s="75"/>
      <c r="G29" s="75"/>
      <c r="J29" s="81"/>
    </row>
    <row r="30" spans="1:10" x14ac:dyDescent="0.25">
      <c r="A30" s="78"/>
      <c r="B30" s="78" t="s">
        <v>138</v>
      </c>
      <c r="C30" s="76" t="s">
        <v>7</v>
      </c>
      <c r="D30" s="78">
        <v>1800</v>
      </c>
      <c r="E30" s="78">
        <v>15</v>
      </c>
      <c r="F30" s="78"/>
      <c r="G30" s="78"/>
      <c r="J30" s="81"/>
    </row>
    <row r="31" spans="1:10" x14ac:dyDescent="0.25">
      <c r="A31" s="79"/>
      <c r="B31" s="79"/>
      <c r="C31" s="76" t="s">
        <v>7</v>
      </c>
      <c r="D31" s="79">
        <v>1400</v>
      </c>
      <c r="E31" s="79">
        <v>30</v>
      </c>
      <c r="F31" s="79"/>
      <c r="G31" s="79"/>
      <c r="J31" s="81"/>
    </row>
    <row r="32" spans="1:10" x14ac:dyDescent="0.25">
      <c r="A32" s="78"/>
      <c r="B32" s="78" t="s">
        <v>139</v>
      </c>
      <c r="C32" s="76" t="s">
        <v>7</v>
      </c>
      <c r="D32" s="78">
        <v>1800</v>
      </c>
      <c r="E32" s="78">
        <v>15</v>
      </c>
      <c r="F32" s="78"/>
      <c r="G32" s="78"/>
      <c r="J32" s="81"/>
    </row>
    <row r="33" spans="1:10" x14ac:dyDescent="0.25">
      <c r="A33" s="79"/>
      <c r="B33" s="79"/>
      <c r="C33" s="76" t="s">
        <v>7</v>
      </c>
      <c r="D33" s="79">
        <v>1400</v>
      </c>
      <c r="E33" s="79">
        <v>30</v>
      </c>
      <c r="F33" s="79"/>
      <c r="G33" s="79"/>
      <c r="J33" s="81"/>
    </row>
    <row r="34" spans="1:10" x14ac:dyDescent="0.25">
      <c r="A34" s="78"/>
      <c r="B34" s="75" t="s">
        <v>54</v>
      </c>
      <c r="C34" s="77" t="s">
        <v>9</v>
      </c>
      <c r="D34" s="75">
        <v>4500</v>
      </c>
      <c r="E34" s="78"/>
      <c r="F34" s="78"/>
      <c r="G34" s="78"/>
      <c r="J34" s="81"/>
    </row>
    <row r="35" spans="1:10" x14ac:dyDescent="0.25">
      <c r="A35" s="79"/>
      <c r="B35" s="79" t="s">
        <v>154</v>
      </c>
      <c r="C35" s="76" t="s">
        <v>7</v>
      </c>
      <c r="D35" s="79">
        <v>3000</v>
      </c>
      <c r="E35" s="79">
        <v>30</v>
      </c>
      <c r="F35" s="79">
        <v>4800</v>
      </c>
      <c r="G35" s="79">
        <v>33</v>
      </c>
      <c r="J35" s="81"/>
    </row>
    <row r="36" spans="1:10" x14ac:dyDescent="0.25">
      <c r="A36" s="78"/>
      <c r="B36" s="78"/>
      <c r="C36" s="41" t="s">
        <v>8</v>
      </c>
      <c r="D36" s="78">
        <v>2500</v>
      </c>
      <c r="E36" s="78"/>
      <c r="F36" s="78">
        <v>3000</v>
      </c>
      <c r="G36" s="78"/>
    </row>
    <row r="37" spans="1:10" x14ac:dyDescent="0.25">
      <c r="A37" s="79"/>
      <c r="B37" s="79"/>
      <c r="C37" s="77"/>
      <c r="D37" s="79"/>
      <c r="E37" s="79"/>
      <c r="F37" s="79"/>
      <c r="G37" s="79"/>
    </row>
    <row r="38" spans="1:10" x14ac:dyDescent="0.25">
      <c r="A38" s="78"/>
      <c r="B38" s="78"/>
      <c r="C38" s="76"/>
      <c r="D38" s="78"/>
      <c r="E38" s="78"/>
      <c r="F38" s="78"/>
      <c r="G38" s="78"/>
    </row>
    <row r="39" spans="1:10" x14ac:dyDescent="0.25">
      <c r="A39" s="79"/>
      <c r="B39" s="79"/>
      <c r="C39" s="77"/>
      <c r="D39" s="79"/>
      <c r="E39" s="79"/>
      <c r="F39" s="79"/>
      <c r="G39" s="79"/>
    </row>
    <row r="40" spans="1:10" x14ac:dyDescent="0.25">
      <c r="A40" s="78"/>
      <c r="B40" s="78"/>
      <c r="C40" s="76"/>
      <c r="D40" s="78"/>
      <c r="E40" s="78"/>
      <c r="F40" s="78"/>
      <c r="G40" s="78"/>
    </row>
    <row r="41" spans="1:10" x14ac:dyDescent="0.25">
      <c r="A41" s="79"/>
      <c r="B41" s="79"/>
      <c r="C41" s="77"/>
      <c r="D41" s="79"/>
      <c r="E41" s="79"/>
      <c r="F41" s="79"/>
      <c r="G41" s="79"/>
    </row>
    <row r="42" spans="1:10" x14ac:dyDescent="0.25">
      <c r="A42" s="78"/>
      <c r="B42" s="78"/>
      <c r="C42" s="76"/>
      <c r="D42" s="78"/>
      <c r="E42" s="78"/>
      <c r="F42" s="78"/>
      <c r="G42" s="78"/>
    </row>
    <row r="43" spans="1:10" x14ac:dyDescent="0.25">
      <c r="A43" s="79"/>
      <c r="B43" s="79"/>
      <c r="C43" s="77"/>
      <c r="D43" s="79"/>
      <c r="E43" s="79"/>
      <c r="F43" s="79"/>
      <c r="G43" s="79"/>
    </row>
    <row r="44" spans="1:10" x14ac:dyDescent="0.25">
      <c r="A44" s="78"/>
      <c r="B44" s="78"/>
      <c r="C44" s="76"/>
      <c r="D44" s="78"/>
      <c r="E44" s="78"/>
      <c r="F44" s="78"/>
      <c r="G44" s="78"/>
    </row>
    <row r="45" spans="1:10" x14ac:dyDescent="0.25">
      <c r="A45" s="79"/>
      <c r="B45" s="79"/>
      <c r="C45" s="77"/>
      <c r="D45" s="79"/>
      <c r="E45" s="79"/>
      <c r="F45" s="79"/>
      <c r="G45" s="79"/>
    </row>
    <row r="46" spans="1:10" x14ac:dyDescent="0.25">
      <c r="A46" s="75" t="s">
        <v>41</v>
      </c>
      <c r="B46" s="75"/>
      <c r="C46" s="80"/>
      <c r="D46" s="75"/>
      <c r="E46" s="75"/>
      <c r="F46" s="75"/>
      <c r="G46" s="75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opLeftCell="A4" zoomScale="80" zoomScaleNormal="80" workbookViewId="0">
      <selection activeCell="F24" sqref="F24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156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152</v>
      </c>
      <c r="B5" s="27">
        <v>5000</v>
      </c>
      <c r="C5" s="27">
        <v>200</v>
      </c>
      <c r="D5" s="27">
        <f>'PELVIS GINECOLOGICA'!$B5/'PELVIS GINECOLOGICA'!$C5</f>
        <v>25</v>
      </c>
      <c r="E5" s="28">
        <v>1</v>
      </c>
      <c r="G5" s="72" t="s">
        <v>122</v>
      </c>
      <c r="H5" s="35"/>
    </row>
    <row r="6" spans="1:9" ht="19.5" customHeight="1" x14ac:dyDescent="0.3">
      <c r="A6" s="26" t="s">
        <v>153</v>
      </c>
      <c r="B6" s="27">
        <v>4500</v>
      </c>
      <c r="C6" s="27">
        <v>180</v>
      </c>
      <c r="D6" s="27">
        <f>'PELVIS GINECOLOGICA'!$B6/'PELVIS GINECOLOGICA'!$C6</f>
        <v>25</v>
      </c>
      <c r="E6" s="28">
        <v>1</v>
      </c>
      <c r="H6" s="36"/>
    </row>
    <row r="7" spans="1:9" ht="19.5" customHeight="1" x14ac:dyDescent="0.3">
      <c r="H7" s="36"/>
    </row>
    <row r="8" spans="1:9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  <c r="I8" s="34"/>
    </row>
    <row r="9" spans="1:9" x14ac:dyDescent="0.25">
      <c r="A9" s="72" t="s">
        <v>33</v>
      </c>
      <c r="B9" s="72" t="s">
        <v>152</v>
      </c>
      <c r="C9" s="41" t="s">
        <v>3</v>
      </c>
      <c r="D9" s="72">
        <v>4900</v>
      </c>
      <c r="E9" s="72">
        <v>95</v>
      </c>
    </row>
    <row r="10" spans="1:9" x14ac:dyDescent="0.25">
      <c r="A10" s="75"/>
      <c r="B10" s="75"/>
      <c r="C10" s="77" t="s">
        <v>9</v>
      </c>
      <c r="D10" s="75">
        <v>5350</v>
      </c>
      <c r="E10" s="75"/>
      <c r="F10" s="75">
        <v>5500</v>
      </c>
      <c r="G10" s="75"/>
    </row>
    <row r="11" spans="1:9" x14ac:dyDescent="0.25">
      <c r="A11" s="75"/>
      <c r="B11" s="75" t="s">
        <v>153</v>
      </c>
      <c r="C11" s="41" t="s">
        <v>3</v>
      </c>
      <c r="D11" s="75">
        <v>4410</v>
      </c>
      <c r="E11" s="75">
        <v>95</v>
      </c>
      <c r="F11" s="75"/>
      <c r="G11" s="75"/>
    </row>
    <row r="12" spans="1:9" x14ac:dyDescent="0.25">
      <c r="A12" s="75"/>
      <c r="B12" s="75"/>
      <c r="C12" s="77" t="s">
        <v>9</v>
      </c>
      <c r="D12" s="75">
        <v>4815</v>
      </c>
      <c r="E12" s="75"/>
      <c r="F12" s="75">
        <v>4950</v>
      </c>
      <c r="G12" s="75"/>
    </row>
    <row r="13" spans="1:9" x14ac:dyDescent="0.25">
      <c r="A13" s="75" t="s">
        <v>37</v>
      </c>
      <c r="B13" s="75" t="s">
        <v>76</v>
      </c>
      <c r="C13" s="77" t="s">
        <v>7</v>
      </c>
      <c r="D13" s="75">
        <v>5000</v>
      </c>
      <c r="E13" s="75">
        <v>50</v>
      </c>
      <c r="F13" s="75"/>
      <c r="G13" s="75"/>
    </row>
    <row r="14" spans="1:9" x14ac:dyDescent="0.25">
      <c r="A14" s="75"/>
      <c r="B14" s="75"/>
      <c r="C14" s="76" t="s">
        <v>7</v>
      </c>
      <c r="D14" s="75">
        <v>4000</v>
      </c>
      <c r="E14" s="75">
        <v>40</v>
      </c>
      <c r="F14" s="75">
        <v>4000</v>
      </c>
      <c r="G14" s="75">
        <v>60</v>
      </c>
    </row>
    <row r="15" spans="1:9" x14ac:dyDescent="0.25">
      <c r="A15" s="75"/>
      <c r="B15" s="75" t="s">
        <v>77</v>
      </c>
      <c r="C15" s="77" t="s">
        <v>7</v>
      </c>
      <c r="D15" s="75">
        <v>4500</v>
      </c>
      <c r="E15" s="75">
        <v>35</v>
      </c>
      <c r="F15" s="75"/>
      <c r="G15" s="75"/>
    </row>
    <row r="16" spans="1:9" x14ac:dyDescent="0.25">
      <c r="A16" s="75"/>
      <c r="B16" s="75"/>
      <c r="C16" s="76" t="s">
        <v>7</v>
      </c>
      <c r="D16" s="75">
        <v>4000</v>
      </c>
      <c r="E16" s="75">
        <v>40</v>
      </c>
      <c r="F16" s="75">
        <v>4000</v>
      </c>
      <c r="G16" s="75">
        <v>60</v>
      </c>
    </row>
    <row r="17" spans="1:10" x14ac:dyDescent="0.25">
      <c r="A17" s="75"/>
      <c r="B17" s="75" t="s">
        <v>84</v>
      </c>
      <c r="C17" s="76" t="s">
        <v>9</v>
      </c>
      <c r="D17" s="75">
        <v>4600</v>
      </c>
      <c r="E17" s="75"/>
      <c r="F17" s="75">
        <v>5000</v>
      </c>
      <c r="G17" s="75"/>
    </row>
    <row r="18" spans="1:10" x14ac:dyDescent="0.25">
      <c r="A18" s="75"/>
      <c r="B18" s="75"/>
      <c r="C18" s="76" t="s">
        <v>10</v>
      </c>
      <c r="D18" s="75">
        <v>4500</v>
      </c>
      <c r="E18" s="75">
        <v>40</v>
      </c>
      <c r="F18" s="75">
        <v>4500</v>
      </c>
      <c r="G18" s="75">
        <v>65</v>
      </c>
    </row>
    <row r="19" spans="1:10" x14ac:dyDescent="0.25">
      <c r="A19" s="75"/>
      <c r="B19" s="75"/>
      <c r="C19" s="76" t="s">
        <v>10</v>
      </c>
      <c r="D19" s="75">
        <v>4000</v>
      </c>
      <c r="E19" s="75">
        <v>100</v>
      </c>
      <c r="F19" s="75"/>
      <c r="G19" s="75"/>
      <c r="J19" s="81"/>
    </row>
    <row r="20" spans="1:10" x14ac:dyDescent="0.25">
      <c r="A20" s="75"/>
      <c r="B20" s="75"/>
      <c r="C20" s="76" t="s">
        <v>10</v>
      </c>
      <c r="D20" s="75">
        <v>3500</v>
      </c>
      <c r="E20" s="75">
        <v>300</v>
      </c>
      <c r="F20" s="75"/>
      <c r="G20" s="75"/>
      <c r="J20" s="81"/>
    </row>
    <row r="21" spans="1:10" x14ac:dyDescent="0.25">
      <c r="A21" s="75"/>
      <c r="B21" s="75"/>
      <c r="C21" s="76" t="s">
        <v>7</v>
      </c>
      <c r="D21" s="75">
        <v>3500</v>
      </c>
      <c r="E21" s="75">
        <v>35</v>
      </c>
      <c r="F21" s="75"/>
      <c r="G21" s="75"/>
      <c r="J21" s="81"/>
    </row>
    <row r="22" spans="1:10" x14ac:dyDescent="0.25">
      <c r="A22" s="75"/>
      <c r="B22" s="75"/>
      <c r="C22" s="76" t="s">
        <v>10</v>
      </c>
      <c r="D22" s="75">
        <v>3000</v>
      </c>
      <c r="E22" s="75">
        <v>400</v>
      </c>
      <c r="F22" s="75"/>
      <c r="G22" s="75"/>
      <c r="J22" s="81"/>
    </row>
    <row r="23" spans="1:10" x14ac:dyDescent="0.25">
      <c r="A23" s="75"/>
      <c r="B23" s="75" t="s">
        <v>79</v>
      </c>
      <c r="C23" s="77" t="s">
        <v>9</v>
      </c>
      <c r="D23" s="75">
        <v>5000</v>
      </c>
      <c r="E23" s="75"/>
      <c r="F23" s="75"/>
      <c r="G23" s="75"/>
      <c r="J23" s="81"/>
    </row>
    <row r="24" spans="1:10" x14ac:dyDescent="0.25">
      <c r="A24" s="75"/>
      <c r="B24" s="75"/>
      <c r="C24" s="77" t="s">
        <v>7</v>
      </c>
      <c r="D24" s="75">
        <v>4500</v>
      </c>
      <c r="E24" s="75">
        <v>25</v>
      </c>
      <c r="F24" s="75"/>
      <c r="G24" s="75"/>
      <c r="J24" s="81"/>
    </row>
    <row r="25" spans="1:10" x14ac:dyDescent="0.25">
      <c r="A25" s="75"/>
      <c r="B25" s="75"/>
      <c r="C25" s="77" t="s">
        <v>7</v>
      </c>
      <c r="D25" s="75">
        <v>4000</v>
      </c>
      <c r="E25" s="75">
        <v>40</v>
      </c>
      <c r="F25" s="75"/>
      <c r="G25" s="75"/>
      <c r="J25" s="81"/>
    </row>
    <row r="26" spans="1:10" x14ac:dyDescent="0.25">
      <c r="A26" s="75"/>
      <c r="B26" s="75" t="s">
        <v>80</v>
      </c>
      <c r="C26" s="77" t="s">
        <v>9</v>
      </c>
      <c r="D26" s="75">
        <v>5000</v>
      </c>
      <c r="E26" s="75"/>
      <c r="F26" s="75"/>
      <c r="G26" s="75"/>
      <c r="J26" s="81"/>
    </row>
    <row r="27" spans="1:10" x14ac:dyDescent="0.25">
      <c r="A27" s="75"/>
      <c r="B27" s="75"/>
      <c r="C27" s="77" t="s">
        <v>7</v>
      </c>
      <c r="D27" s="75">
        <v>4500</v>
      </c>
      <c r="E27" s="75">
        <v>25</v>
      </c>
      <c r="F27" s="75"/>
      <c r="G27" s="75"/>
      <c r="J27" s="81"/>
    </row>
    <row r="28" spans="1:10" x14ac:dyDescent="0.25">
      <c r="A28" s="75"/>
      <c r="B28" s="75"/>
      <c r="C28" s="77" t="s">
        <v>7</v>
      </c>
      <c r="D28" s="75">
        <v>4000</v>
      </c>
      <c r="E28" s="75">
        <v>40</v>
      </c>
      <c r="F28" s="75"/>
      <c r="G28" s="75"/>
      <c r="J28" s="81"/>
    </row>
    <row r="29" spans="1:10" x14ac:dyDescent="0.25">
      <c r="A29" s="75"/>
      <c r="B29" s="75" t="s">
        <v>85</v>
      </c>
      <c r="C29" s="77" t="s">
        <v>9</v>
      </c>
      <c r="D29" s="75">
        <v>5000</v>
      </c>
      <c r="E29" s="75"/>
      <c r="F29" s="75"/>
      <c r="G29" s="75"/>
      <c r="J29" s="81"/>
    </row>
    <row r="30" spans="1:10" x14ac:dyDescent="0.25">
      <c r="A30" s="75"/>
      <c r="B30" s="75" t="s">
        <v>92</v>
      </c>
      <c r="C30" s="77" t="s">
        <v>9</v>
      </c>
      <c r="D30" s="75">
        <v>4830</v>
      </c>
      <c r="E30" s="75"/>
      <c r="F30" s="75"/>
      <c r="G30" s="75"/>
      <c r="J30" s="81"/>
    </row>
    <row r="31" spans="1:10" x14ac:dyDescent="0.25">
      <c r="A31" s="78"/>
      <c r="B31" s="78" t="s">
        <v>138</v>
      </c>
      <c r="C31" s="76" t="s">
        <v>7</v>
      </c>
      <c r="D31" s="78">
        <v>1800</v>
      </c>
      <c r="E31" s="78">
        <v>15</v>
      </c>
      <c r="F31" s="78"/>
      <c r="G31" s="78"/>
      <c r="J31" s="81"/>
    </row>
    <row r="32" spans="1:10" x14ac:dyDescent="0.25">
      <c r="A32" s="79"/>
      <c r="B32" s="79"/>
      <c r="C32" s="76" t="s">
        <v>7</v>
      </c>
      <c r="D32" s="79">
        <v>1400</v>
      </c>
      <c r="E32" s="79">
        <v>30</v>
      </c>
      <c r="F32" s="79"/>
      <c r="G32" s="79"/>
      <c r="J32" s="81"/>
    </row>
    <row r="33" spans="1:10" x14ac:dyDescent="0.25">
      <c r="A33" s="78"/>
      <c r="B33" s="78" t="s">
        <v>139</v>
      </c>
      <c r="C33" s="76" t="s">
        <v>7</v>
      </c>
      <c r="D33" s="78">
        <v>1800</v>
      </c>
      <c r="E33" s="78">
        <v>15</v>
      </c>
      <c r="F33" s="78"/>
      <c r="G33" s="78"/>
      <c r="J33" s="81"/>
    </row>
    <row r="34" spans="1:10" x14ac:dyDescent="0.25">
      <c r="A34" s="79"/>
      <c r="B34" s="79"/>
      <c r="C34" s="76" t="s">
        <v>7</v>
      </c>
      <c r="D34" s="79">
        <v>1400</v>
      </c>
      <c r="E34" s="79">
        <v>30</v>
      </c>
      <c r="F34" s="79"/>
      <c r="G34" s="79"/>
      <c r="J34" s="81"/>
    </row>
    <row r="35" spans="1:10" x14ac:dyDescent="0.25">
      <c r="A35" s="78"/>
      <c r="B35" s="75" t="s">
        <v>54</v>
      </c>
      <c r="C35" s="77" t="s">
        <v>9</v>
      </c>
      <c r="D35" s="75">
        <v>4500</v>
      </c>
      <c r="E35" s="78"/>
      <c r="F35" s="78"/>
      <c r="G35" s="78"/>
      <c r="J35" s="81"/>
    </row>
    <row r="36" spans="1:10" x14ac:dyDescent="0.25">
      <c r="A36" s="79"/>
      <c r="B36" s="79" t="s">
        <v>154</v>
      </c>
      <c r="C36" s="76" t="s">
        <v>7</v>
      </c>
      <c r="D36" s="79">
        <v>3000</v>
      </c>
      <c r="E36" s="79">
        <v>30</v>
      </c>
      <c r="F36" s="79">
        <v>4800</v>
      </c>
      <c r="G36" s="79">
        <v>33</v>
      </c>
      <c r="J36" s="81"/>
    </row>
    <row r="37" spans="1:10" x14ac:dyDescent="0.25">
      <c r="A37" s="78"/>
      <c r="B37" s="78"/>
      <c r="C37" s="41" t="s">
        <v>8</v>
      </c>
      <c r="D37" s="78">
        <v>2500</v>
      </c>
      <c r="E37" s="78"/>
      <c r="F37" s="78">
        <v>3000</v>
      </c>
      <c r="G37" s="78"/>
    </row>
    <row r="38" spans="1:10" x14ac:dyDescent="0.25">
      <c r="A38" s="79"/>
      <c r="B38" s="79"/>
      <c r="C38" s="77"/>
      <c r="D38" s="79"/>
      <c r="E38" s="79"/>
      <c r="F38" s="79"/>
      <c r="G38" s="79"/>
    </row>
    <row r="39" spans="1:10" x14ac:dyDescent="0.25">
      <c r="A39" s="78"/>
      <c r="B39" s="78"/>
      <c r="C39" s="76"/>
      <c r="D39" s="78"/>
      <c r="E39" s="78"/>
      <c r="F39" s="78"/>
      <c r="G39" s="78"/>
    </row>
    <row r="40" spans="1:10" x14ac:dyDescent="0.25">
      <c r="A40" s="79"/>
      <c r="B40" s="79"/>
      <c r="C40" s="77"/>
      <c r="D40" s="79"/>
      <c r="E40" s="79"/>
      <c r="F40" s="79"/>
      <c r="G40" s="79"/>
    </row>
    <row r="41" spans="1:10" x14ac:dyDescent="0.25">
      <c r="A41" s="78"/>
      <c r="B41" s="78"/>
      <c r="C41" s="76"/>
      <c r="D41" s="78"/>
      <c r="E41" s="78"/>
      <c r="F41" s="78"/>
      <c r="G41" s="78"/>
    </row>
    <row r="42" spans="1:10" x14ac:dyDescent="0.25">
      <c r="A42" s="79"/>
      <c r="B42" s="79"/>
      <c r="C42" s="77"/>
      <c r="D42" s="79"/>
      <c r="E42" s="79"/>
      <c r="F42" s="79"/>
      <c r="G42" s="79"/>
    </row>
    <row r="43" spans="1:10" x14ac:dyDescent="0.25">
      <c r="A43" s="78"/>
      <c r="B43" s="78"/>
      <c r="C43" s="76"/>
      <c r="D43" s="78"/>
      <c r="E43" s="78"/>
      <c r="F43" s="78"/>
      <c r="G43" s="78"/>
    </row>
    <row r="44" spans="1:10" x14ac:dyDescent="0.25">
      <c r="A44" s="79"/>
      <c r="B44" s="79"/>
      <c r="C44" s="77"/>
      <c r="D44" s="79"/>
      <c r="E44" s="79"/>
      <c r="F44" s="79"/>
      <c r="G44" s="79"/>
    </row>
    <row r="45" spans="1:10" x14ac:dyDescent="0.25">
      <c r="A45" s="78"/>
      <c r="B45" s="78"/>
      <c r="C45" s="76"/>
      <c r="D45" s="78"/>
      <c r="E45" s="78"/>
      <c r="F45" s="78"/>
      <c r="G45" s="78"/>
    </row>
    <row r="46" spans="1:10" x14ac:dyDescent="0.25">
      <c r="A46" s="75" t="s">
        <v>41</v>
      </c>
      <c r="B46" s="79"/>
      <c r="C46" s="77"/>
      <c r="D46" s="79"/>
      <c r="E46" s="79"/>
      <c r="F46" s="79"/>
      <c r="G46" s="79"/>
    </row>
    <row r="47" spans="1:10" x14ac:dyDescent="0.25">
      <c r="B47" s="75"/>
      <c r="C47" s="80"/>
      <c r="D47" s="75"/>
      <c r="E47" s="75"/>
      <c r="F47" s="75"/>
      <c r="G47" s="75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opLeftCell="A4" zoomScale="80" zoomScaleNormal="80" workbookViewId="0">
      <selection activeCell="E26" sqref="E26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155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152</v>
      </c>
      <c r="B5" s="27">
        <v>5000</v>
      </c>
      <c r="C5" s="27">
        <v>200</v>
      </c>
      <c r="D5" s="27">
        <f>'PELVIS GINECOLOGICA + LA'!$B5/'PELVIS GINECOLOGICA + LA'!$C5</f>
        <v>25</v>
      </c>
      <c r="E5" s="28">
        <v>1</v>
      </c>
      <c r="G5" s="72" t="s">
        <v>122</v>
      </c>
      <c r="H5" s="35"/>
    </row>
    <row r="6" spans="1:9" ht="19.5" customHeight="1" x14ac:dyDescent="0.3">
      <c r="A6" s="26" t="s">
        <v>153</v>
      </c>
      <c r="B6" s="27">
        <v>4500</v>
      </c>
      <c r="C6" s="27">
        <v>180</v>
      </c>
      <c r="D6" s="27">
        <f>'PELVIS GINECOLOGICA + LA'!$B6/'PELVIS GINECOLOGICA + LA'!$C6</f>
        <v>25</v>
      </c>
      <c r="E6" s="28">
        <v>1</v>
      </c>
      <c r="H6" s="36"/>
    </row>
    <row r="7" spans="1:9" ht="19.5" customHeight="1" x14ac:dyDescent="0.3">
      <c r="H7" s="36"/>
    </row>
    <row r="8" spans="1:9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  <c r="I8" s="34"/>
    </row>
    <row r="9" spans="1:9" x14ac:dyDescent="0.25">
      <c r="A9" s="72" t="s">
        <v>33</v>
      </c>
      <c r="B9" s="72" t="s">
        <v>152</v>
      </c>
      <c r="C9" s="41" t="s">
        <v>3</v>
      </c>
      <c r="D9" s="72">
        <v>4900</v>
      </c>
      <c r="E9" s="72">
        <v>95</v>
      </c>
    </row>
    <row r="10" spans="1:9" x14ac:dyDescent="0.25">
      <c r="A10" s="75"/>
      <c r="B10" s="75"/>
      <c r="C10" s="77" t="s">
        <v>9</v>
      </c>
      <c r="D10" s="75">
        <v>5350</v>
      </c>
      <c r="E10" s="75"/>
      <c r="F10" s="75">
        <v>5500</v>
      </c>
      <c r="G10" s="75"/>
    </row>
    <row r="11" spans="1:9" x14ac:dyDescent="0.25">
      <c r="A11" s="75"/>
      <c r="B11" s="75" t="s">
        <v>153</v>
      </c>
      <c r="C11" s="41" t="s">
        <v>3</v>
      </c>
      <c r="D11" s="75">
        <v>4410</v>
      </c>
      <c r="E11" s="75">
        <v>95</v>
      </c>
      <c r="F11" s="75"/>
      <c r="G11" s="75"/>
    </row>
    <row r="12" spans="1:9" x14ac:dyDescent="0.25">
      <c r="A12" s="75"/>
      <c r="B12" s="75"/>
      <c r="C12" s="77" t="s">
        <v>9</v>
      </c>
      <c r="D12" s="75">
        <v>4815</v>
      </c>
      <c r="E12" s="75"/>
      <c r="F12" s="75">
        <v>4950</v>
      </c>
      <c r="G12" s="75"/>
    </row>
    <row r="13" spans="1:9" x14ac:dyDescent="0.25">
      <c r="A13" s="75" t="s">
        <v>37</v>
      </c>
      <c r="B13" s="75" t="s">
        <v>76</v>
      </c>
      <c r="C13" s="77" t="s">
        <v>7</v>
      </c>
      <c r="D13" s="75">
        <v>5000</v>
      </c>
      <c r="E13" s="75">
        <v>50</v>
      </c>
      <c r="F13" s="75"/>
      <c r="G13" s="75"/>
    </row>
    <row r="14" spans="1:9" x14ac:dyDescent="0.25">
      <c r="A14" s="75"/>
      <c r="B14" s="75"/>
      <c r="C14" s="76" t="s">
        <v>7</v>
      </c>
      <c r="D14" s="75">
        <v>4000</v>
      </c>
      <c r="E14" s="75">
        <v>40</v>
      </c>
      <c r="F14" s="75">
        <v>4000</v>
      </c>
      <c r="G14" s="75">
        <v>60</v>
      </c>
    </row>
    <row r="15" spans="1:9" x14ac:dyDescent="0.25">
      <c r="A15" s="75"/>
      <c r="B15" s="75" t="s">
        <v>77</v>
      </c>
      <c r="C15" s="77" t="s">
        <v>7</v>
      </c>
      <c r="D15" s="75">
        <v>4500</v>
      </c>
      <c r="E15" s="75">
        <v>35</v>
      </c>
      <c r="F15" s="75"/>
      <c r="G15" s="75"/>
    </row>
    <row r="16" spans="1:9" x14ac:dyDescent="0.25">
      <c r="A16" s="75"/>
      <c r="B16" s="75"/>
      <c r="C16" s="76" t="s">
        <v>7</v>
      </c>
      <c r="D16" s="75">
        <v>4000</v>
      </c>
      <c r="E16" s="75">
        <v>40</v>
      </c>
      <c r="F16" s="75">
        <v>4000</v>
      </c>
      <c r="G16" s="75">
        <v>60</v>
      </c>
    </row>
    <row r="17" spans="1:10" x14ac:dyDescent="0.25">
      <c r="A17" s="75"/>
      <c r="B17" s="75" t="s">
        <v>84</v>
      </c>
      <c r="C17" s="76" t="s">
        <v>9</v>
      </c>
      <c r="D17" s="75">
        <v>4600</v>
      </c>
      <c r="E17" s="75"/>
      <c r="F17" s="75">
        <v>5000</v>
      </c>
      <c r="G17" s="75"/>
    </row>
    <row r="18" spans="1:10" x14ac:dyDescent="0.25">
      <c r="A18" s="75"/>
      <c r="B18" s="75"/>
      <c r="C18" s="76" t="s">
        <v>10</v>
      </c>
      <c r="D18" s="75">
        <v>4500</v>
      </c>
      <c r="E18" s="75">
        <v>40</v>
      </c>
      <c r="F18" s="75">
        <v>4500</v>
      </c>
      <c r="G18" s="75">
        <v>65</v>
      </c>
    </row>
    <row r="19" spans="1:10" x14ac:dyDescent="0.25">
      <c r="A19" s="75"/>
      <c r="B19" s="75"/>
      <c r="C19" s="76" t="s">
        <v>10</v>
      </c>
      <c r="D19" s="75">
        <v>4000</v>
      </c>
      <c r="E19" s="75">
        <v>100</v>
      </c>
      <c r="F19" s="75"/>
      <c r="G19" s="75"/>
      <c r="J19" s="81"/>
    </row>
    <row r="20" spans="1:10" x14ac:dyDescent="0.25">
      <c r="A20" s="75"/>
      <c r="B20" s="75"/>
      <c r="C20" s="76" t="s">
        <v>10</v>
      </c>
      <c r="D20" s="75">
        <v>3500</v>
      </c>
      <c r="E20" s="75">
        <v>300</v>
      </c>
      <c r="F20" s="75"/>
      <c r="G20" s="75"/>
      <c r="J20" s="81"/>
    </row>
    <row r="21" spans="1:10" x14ac:dyDescent="0.25">
      <c r="A21" s="75"/>
      <c r="B21" s="75"/>
      <c r="C21" s="76" t="s">
        <v>7</v>
      </c>
      <c r="D21" s="75">
        <v>3500</v>
      </c>
      <c r="E21" s="75">
        <v>35</v>
      </c>
      <c r="F21" s="75"/>
      <c r="G21" s="75"/>
      <c r="J21" s="81"/>
    </row>
    <row r="22" spans="1:10" x14ac:dyDescent="0.25">
      <c r="A22" s="75"/>
      <c r="B22" s="75"/>
      <c r="C22" s="76" t="s">
        <v>10</v>
      </c>
      <c r="D22" s="75">
        <v>3000</v>
      </c>
      <c r="E22" s="75">
        <v>400</v>
      </c>
      <c r="F22" s="75"/>
      <c r="G22" s="75"/>
      <c r="J22" s="81"/>
    </row>
    <row r="23" spans="1:10" x14ac:dyDescent="0.25">
      <c r="A23" s="75"/>
      <c r="B23" s="75" t="s">
        <v>79</v>
      </c>
      <c r="C23" s="77" t="s">
        <v>9</v>
      </c>
      <c r="D23" s="75">
        <v>5000</v>
      </c>
      <c r="E23" s="75"/>
      <c r="F23" s="75"/>
      <c r="G23" s="75"/>
      <c r="J23" s="81"/>
    </row>
    <row r="24" spans="1:10" x14ac:dyDescent="0.25">
      <c r="A24" s="75"/>
      <c r="B24" s="75"/>
      <c r="C24" s="77" t="s">
        <v>7</v>
      </c>
      <c r="D24" s="75">
        <v>4500</v>
      </c>
      <c r="E24" s="75">
        <v>25</v>
      </c>
      <c r="F24" s="75"/>
      <c r="G24" s="75"/>
      <c r="J24" s="81"/>
    </row>
    <row r="25" spans="1:10" x14ac:dyDescent="0.25">
      <c r="A25" s="75"/>
      <c r="B25" s="75"/>
      <c r="C25" s="77" t="s">
        <v>7</v>
      </c>
      <c r="D25" s="75">
        <v>4000</v>
      </c>
      <c r="E25" s="75">
        <v>40</v>
      </c>
      <c r="F25" s="75"/>
      <c r="G25" s="75"/>
      <c r="J25" s="81"/>
    </row>
    <row r="26" spans="1:10" x14ac:dyDescent="0.25">
      <c r="A26" s="75"/>
      <c r="B26" s="75" t="s">
        <v>80</v>
      </c>
      <c r="C26" s="77" t="s">
        <v>9</v>
      </c>
      <c r="D26" s="75">
        <v>5000</v>
      </c>
      <c r="E26" s="75"/>
      <c r="F26" s="75"/>
      <c r="G26" s="75"/>
      <c r="J26" s="81"/>
    </row>
    <row r="27" spans="1:10" x14ac:dyDescent="0.25">
      <c r="A27" s="75"/>
      <c r="B27" s="75"/>
      <c r="C27" s="77" t="s">
        <v>7</v>
      </c>
      <c r="D27" s="75">
        <v>4500</v>
      </c>
      <c r="E27" s="75">
        <v>25</v>
      </c>
      <c r="F27" s="75"/>
      <c r="G27" s="75"/>
      <c r="J27" s="81"/>
    </row>
    <row r="28" spans="1:10" x14ac:dyDescent="0.25">
      <c r="A28" s="75"/>
      <c r="B28" s="75"/>
      <c r="C28" s="77" t="s">
        <v>7</v>
      </c>
      <c r="D28" s="75">
        <v>4000</v>
      </c>
      <c r="E28" s="75">
        <v>40</v>
      </c>
      <c r="F28" s="75"/>
      <c r="G28" s="75"/>
      <c r="J28" s="81"/>
    </row>
    <row r="29" spans="1:10" x14ac:dyDescent="0.25">
      <c r="A29" s="75"/>
      <c r="B29" s="75" t="s">
        <v>85</v>
      </c>
      <c r="C29" s="77" t="s">
        <v>9</v>
      </c>
      <c r="D29" s="75">
        <v>5000</v>
      </c>
      <c r="E29" s="75"/>
      <c r="F29" s="75"/>
      <c r="G29" s="75"/>
      <c r="J29" s="81"/>
    </row>
    <row r="30" spans="1:10" x14ac:dyDescent="0.25">
      <c r="A30" s="75"/>
      <c r="B30" s="75" t="s">
        <v>92</v>
      </c>
      <c r="C30" s="77" t="s">
        <v>9</v>
      </c>
      <c r="D30" s="75">
        <v>4830</v>
      </c>
      <c r="E30" s="75"/>
      <c r="F30" s="75"/>
      <c r="G30" s="75"/>
      <c r="J30" s="81"/>
    </row>
    <row r="31" spans="1:10" x14ac:dyDescent="0.25">
      <c r="A31" s="78"/>
      <c r="B31" s="78" t="s">
        <v>138</v>
      </c>
      <c r="C31" s="76" t="s">
        <v>7</v>
      </c>
      <c r="D31" s="78">
        <v>1800</v>
      </c>
      <c r="E31" s="78">
        <v>15</v>
      </c>
      <c r="F31" s="78"/>
      <c r="G31" s="78"/>
      <c r="J31" s="81"/>
    </row>
    <row r="32" spans="1:10" x14ac:dyDescent="0.25">
      <c r="A32" s="79"/>
      <c r="B32" s="79"/>
      <c r="C32" s="76" t="s">
        <v>7</v>
      </c>
      <c r="D32" s="79">
        <v>1400</v>
      </c>
      <c r="E32" s="79">
        <v>30</v>
      </c>
      <c r="F32" s="79"/>
      <c r="G32" s="79"/>
      <c r="J32" s="81"/>
    </row>
    <row r="33" spans="1:10" x14ac:dyDescent="0.25">
      <c r="A33" s="78"/>
      <c r="B33" s="78" t="s">
        <v>139</v>
      </c>
      <c r="C33" s="76" t="s">
        <v>7</v>
      </c>
      <c r="D33" s="78">
        <v>1800</v>
      </c>
      <c r="E33" s="78">
        <v>15</v>
      </c>
      <c r="F33" s="78"/>
      <c r="G33" s="78"/>
      <c r="J33" s="81"/>
    </row>
    <row r="34" spans="1:10" x14ac:dyDescent="0.25">
      <c r="A34" s="79"/>
      <c r="B34" s="79"/>
      <c r="C34" s="76" t="s">
        <v>7</v>
      </c>
      <c r="D34" s="79">
        <v>1400</v>
      </c>
      <c r="E34" s="79">
        <v>30</v>
      </c>
      <c r="F34" s="79"/>
      <c r="G34" s="79"/>
      <c r="J34" s="81"/>
    </row>
    <row r="35" spans="1:10" x14ac:dyDescent="0.25">
      <c r="A35" s="78"/>
      <c r="B35" s="75" t="s">
        <v>54</v>
      </c>
      <c r="C35" s="77" t="s">
        <v>9</v>
      </c>
      <c r="D35" s="75">
        <v>4500</v>
      </c>
      <c r="E35" s="78"/>
      <c r="F35" s="78"/>
      <c r="G35" s="78"/>
      <c r="J35" s="81"/>
    </row>
    <row r="36" spans="1:10" x14ac:dyDescent="0.25">
      <c r="A36" s="79"/>
      <c r="B36" s="79" t="s">
        <v>154</v>
      </c>
      <c r="C36" s="76" t="s">
        <v>7</v>
      </c>
      <c r="D36" s="79">
        <v>3000</v>
      </c>
      <c r="E36" s="79">
        <v>30</v>
      </c>
      <c r="F36" s="79">
        <v>4800</v>
      </c>
      <c r="G36" s="79">
        <v>33</v>
      </c>
      <c r="J36" s="81"/>
    </row>
    <row r="37" spans="1:10" x14ac:dyDescent="0.25">
      <c r="A37" s="78"/>
      <c r="B37" s="78"/>
      <c r="C37" s="41" t="s">
        <v>8</v>
      </c>
      <c r="D37" s="78">
        <v>2500</v>
      </c>
      <c r="E37" s="78"/>
      <c r="F37" s="78">
        <v>3000</v>
      </c>
      <c r="G37" s="78"/>
    </row>
    <row r="38" spans="1:10" x14ac:dyDescent="0.25">
      <c r="A38" s="79"/>
      <c r="B38" s="79"/>
      <c r="C38" s="77"/>
      <c r="D38" s="79"/>
      <c r="E38" s="79"/>
      <c r="F38" s="79"/>
      <c r="G38" s="79"/>
    </row>
    <row r="39" spans="1:10" x14ac:dyDescent="0.25">
      <c r="A39" s="78"/>
      <c r="B39" s="78"/>
      <c r="C39" s="76"/>
      <c r="D39" s="78"/>
      <c r="E39" s="78"/>
      <c r="F39" s="78"/>
      <c r="G39" s="78"/>
    </row>
    <row r="40" spans="1:10" x14ac:dyDescent="0.25">
      <c r="A40" s="79"/>
      <c r="B40" s="79"/>
      <c r="C40" s="77"/>
      <c r="D40" s="79"/>
      <c r="E40" s="79"/>
      <c r="F40" s="79"/>
      <c r="G40" s="79"/>
    </row>
    <row r="41" spans="1:10" x14ac:dyDescent="0.25">
      <c r="A41" s="78"/>
      <c r="B41" s="78"/>
      <c r="C41" s="76"/>
      <c r="D41" s="78"/>
      <c r="E41" s="78"/>
      <c r="F41" s="78"/>
      <c r="G41" s="78"/>
    </row>
    <row r="42" spans="1:10" x14ac:dyDescent="0.25">
      <c r="A42" s="79"/>
      <c r="B42" s="79"/>
      <c r="C42" s="77"/>
      <c r="D42" s="79"/>
      <c r="E42" s="79"/>
      <c r="F42" s="79"/>
      <c r="G42" s="79"/>
    </row>
    <row r="43" spans="1:10" x14ac:dyDescent="0.25">
      <c r="A43" s="78"/>
      <c r="B43" s="78"/>
      <c r="C43" s="76"/>
      <c r="D43" s="78"/>
      <c r="E43" s="78"/>
      <c r="F43" s="78"/>
      <c r="G43" s="78"/>
    </row>
    <row r="44" spans="1:10" x14ac:dyDescent="0.25">
      <c r="A44" s="79"/>
      <c r="B44" s="79"/>
      <c r="C44" s="77"/>
      <c r="D44" s="79"/>
      <c r="E44" s="79"/>
      <c r="F44" s="79"/>
      <c r="G44" s="79"/>
    </row>
    <row r="45" spans="1:10" x14ac:dyDescent="0.25">
      <c r="A45" s="78"/>
      <c r="B45" s="78"/>
      <c r="C45" s="76"/>
      <c r="D45" s="78"/>
      <c r="E45" s="78"/>
      <c r="F45" s="78"/>
      <c r="G45" s="78"/>
    </row>
    <row r="46" spans="1:10" x14ac:dyDescent="0.25">
      <c r="A46" s="75" t="s">
        <v>41</v>
      </c>
      <c r="B46" s="79"/>
      <c r="C46" s="77"/>
      <c r="D46" s="79"/>
      <c r="E46" s="79"/>
      <c r="F46" s="79"/>
      <c r="G46" s="79"/>
    </row>
    <row r="47" spans="1:10" x14ac:dyDescent="0.25">
      <c r="B47" s="75"/>
      <c r="C47" s="80"/>
      <c r="D47" s="75"/>
      <c r="E47" s="75"/>
      <c r="F47" s="75"/>
      <c r="G47" s="75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80" zoomScaleNormal="80" workbookViewId="0">
      <selection activeCell="B29" sqref="B29:E32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148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91</v>
      </c>
      <c r="B5" s="27">
        <v>4500</v>
      </c>
      <c r="C5" s="27">
        <v>180</v>
      </c>
      <c r="D5" s="27">
        <f>'CERVIX+LN+LNPOS'!$B5/'CERVIX+LN+LNPOS'!$C5</f>
        <v>25</v>
      </c>
      <c r="E5" s="28">
        <v>1</v>
      </c>
      <c r="G5" s="72" t="s">
        <v>122</v>
      </c>
      <c r="H5" s="35"/>
    </row>
    <row r="6" spans="1:9" ht="15" customHeight="1" x14ac:dyDescent="0.3">
      <c r="A6" t="s">
        <v>53</v>
      </c>
      <c r="B6">
        <v>4500</v>
      </c>
      <c r="C6">
        <v>180</v>
      </c>
      <c r="D6">
        <f>B6/C6</f>
        <v>25</v>
      </c>
      <c r="E6">
        <v>1</v>
      </c>
      <c r="H6" s="36"/>
    </row>
    <row r="7" spans="1:9" x14ac:dyDescent="0.25">
      <c r="A7" s="26" t="s">
        <v>93</v>
      </c>
      <c r="B7" s="27">
        <v>5500</v>
      </c>
      <c r="C7" s="27">
        <v>220</v>
      </c>
      <c r="D7" s="27">
        <f>'CERVIX+LN+LNPOS'!$B7/'CERVIX+LN+LNPOS'!$C7</f>
        <v>25</v>
      </c>
      <c r="E7" s="28">
        <v>1</v>
      </c>
      <c r="F7" s="63"/>
      <c r="G7" s="64"/>
      <c r="I7" s="34"/>
    </row>
    <row r="8" spans="1:9" x14ac:dyDescent="0.25">
      <c r="A8" s="62"/>
      <c r="B8" s="63"/>
      <c r="C8" s="63"/>
      <c r="D8" s="63"/>
      <c r="E8" s="63"/>
      <c r="F8" s="63"/>
      <c r="G8" s="64"/>
    </row>
    <row r="9" spans="1:9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9" x14ac:dyDescent="0.25">
      <c r="A10" s="42" t="s">
        <v>33</v>
      </c>
      <c r="B10" s="43" t="s">
        <v>91</v>
      </c>
      <c r="C10" s="41" t="s">
        <v>3</v>
      </c>
      <c r="D10" s="43">
        <v>4410</v>
      </c>
      <c r="E10" s="43">
        <v>95</v>
      </c>
      <c r="F10" s="43"/>
      <c r="G10" s="44"/>
    </row>
    <row r="11" spans="1:9" x14ac:dyDescent="0.25">
      <c r="A11" s="42"/>
      <c r="B11" s="43" t="s">
        <v>53</v>
      </c>
      <c r="C11" s="41" t="s">
        <v>3</v>
      </c>
      <c r="D11" s="43">
        <v>4410</v>
      </c>
      <c r="E11" s="43">
        <v>95</v>
      </c>
      <c r="F11" s="43"/>
      <c r="G11" s="44"/>
    </row>
    <row r="12" spans="1:9" x14ac:dyDescent="0.25">
      <c r="A12" s="45"/>
      <c r="B12" s="43" t="s">
        <v>93</v>
      </c>
      <c r="C12" s="41" t="s">
        <v>3</v>
      </c>
      <c r="D12" s="43">
        <v>5390</v>
      </c>
      <c r="E12" s="43">
        <v>95</v>
      </c>
      <c r="F12" s="43"/>
      <c r="G12" s="44"/>
    </row>
    <row r="13" spans="1:9" x14ac:dyDescent="0.25">
      <c r="A13" s="42"/>
      <c r="B13" s="46"/>
      <c r="C13" s="47" t="s">
        <v>9</v>
      </c>
      <c r="D13" s="46">
        <v>5885</v>
      </c>
      <c r="E13" s="46"/>
      <c r="F13" s="46"/>
      <c r="G13" s="48"/>
    </row>
    <row r="14" spans="1:9" x14ac:dyDescent="0.25">
      <c r="A14" s="42" t="s">
        <v>37</v>
      </c>
      <c r="B14" s="43" t="s">
        <v>76</v>
      </c>
      <c r="C14" s="41" t="s">
        <v>7</v>
      </c>
      <c r="D14" s="43">
        <v>6500</v>
      </c>
      <c r="E14" s="43">
        <v>25</v>
      </c>
      <c r="F14" s="43"/>
      <c r="G14" s="44"/>
    </row>
    <row r="15" spans="1:9" x14ac:dyDescent="0.25">
      <c r="A15" s="45"/>
      <c r="B15" s="46"/>
      <c r="C15" s="47" t="s">
        <v>7</v>
      </c>
      <c r="D15" s="46">
        <v>6000</v>
      </c>
      <c r="E15" s="46">
        <v>35</v>
      </c>
      <c r="F15" s="46"/>
      <c r="G15" s="48"/>
    </row>
    <row r="16" spans="1:9" x14ac:dyDescent="0.25">
      <c r="A16" s="42"/>
      <c r="B16" s="43"/>
      <c r="C16" s="41" t="s">
        <v>7</v>
      </c>
      <c r="D16" s="43">
        <v>5000</v>
      </c>
      <c r="E16" s="43">
        <v>50</v>
      </c>
      <c r="F16" s="43"/>
      <c r="G16" s="44"/>
    </row>
    <row r="17" spans="1:7" x14ac:dyDescent="0.25">
      <c r="A17" s="45"/>
      <c r="B17" s="46"/>
      <c r="C17" s="41" t="s">
        <v>7</v>
      </c>
      <c r="D17" s="46">
        <v>4000</v>
      </c>
      <c r="E17" s="46">
        <v>40</v>
      </c>
      <c r="F17" s="46">
        <v>4000</v>
      </c>
      <c r="G17" s="48">
        <v>60</v>
      </c>
    </row>
    <row r="18" spans="1:7" x14ac:dyDescent="0.25">
      <c r="A18" s="42"/>
      <c r="B18" s="43" t="s">
        <v>77</v>
      </c>
      <c r="C18" s="41" t="s">
        <v>7</v>
      </c>
      <c r="D18" s="43">
        <v>4500</v>
      </c>
      <c r="E18" s="43">
        <v>35</v>
      </c>
      <c r="F18" s="43">
        <v>4500</v>
      </c>
      <c r="G18" s="44">
        <v>50</v>
      </c>
    </row>
    <row r="19" spans="1:7" x14ac:dyDescent="0.25">
      <c r="A19" s="45"/>
      <c r="B19" s="46"/>
      <c r="C19" s="47" t="s">
        <v>7</v>
      </c>
      <c r="D19" s="46">
        <v>4000</v>
      </c>
      <c r="E19" s="46">
        <v>40</v>
      </c>
      <c r="F19" s="46">
        <v>4000</v>
      </c>
      <c r="G19" s="48">
        <v>60</v>
      </c>
    </row>
    <row r="20" spans="1:7" x14ac:dyDescent="0.25">
      <c r="A20" s="42"/>
      <c r="B20" s="46" t="s">
        <v>84</v>
      </c>
      <c r="C20" s="47" t="s">
        <v>9</v>
      </c>
      <c r="D20" s="46">
        <v>4600</v>
      </c>
      <c r="E20" s="46"/>
      <c r="F20" s="46"/>
      <c r="G20" s="48"/>
    </row>
    <row r="21" spans="1:7" x14ac:dyDescent="0.25">
      <c r="A21" s="45"/>
      <c r="B21" s="43"/>
      <c r="C21" s="47" t="s">
        <v>10</v>
      </c>
      <c r="D21" s="43">
        <v>4500</v>
      </c>
      <c r="E21" s="43">
        <v>195</v>
      </c>
      <c r="F21" s="43"/>
      <c r="G21" s="44"/>
    </row>
    <row r="22" spans="1:7" x14ac:dyDescent="0.25">
      <c r="A22" s="42"/>
      <c r="B22" s="46"/>
      <c r="C22" s="47" t="s">
        <v>7</v>
      </c>
      <c r="D22" s="46">
        <v>4000</v>
      </c>
      <c r="E22" s="46">
        <v>30</v>
      </c>
      <c r="F22" s="43"/>
      <c r="G22" s="44"/>
    </row>
    <row r="23" spans="1:7" x14ac:dyDescent="0.25">
      <c r="A23" s="45"/>
      <c r="B23" s="43" t="s">
        <v>79</v>
      </c>
      <c r="C23" s="41" t="s">
        <v>9</v>
      </c>
      <c r="D23" s="43">
        <v>5200</v>
      </c>
      <c r="E23" s="43"/>
      <c r="F23" s="46"/>
      <c r="G23" s="48"/>
    </row>
    <row r="24" spans="1:7" x14ac:dyDescent="0.25">
      <c r="A24" s="42"/>
      <c r="B24" s="43"/>
      <c r="C24" s="41" t="s">
        <v>7</v>
      </c>
      <c r="D24" s="43">
        <v>3500</v>
      </c>
      <c r="E24" s="43">
        <v>10</v>
      </c>
      <c r="F24" s="46"/>
      <c r="G24" s="48"/>
    </row>
    <row r="25" spans="1:7" x14ac:dyDescent="0.25">
      <c r="A25" s="45"/>
      <c r="B25" s="43" t="s">
        <v>80</v>
      </c>
      <c r="C25" s="41" t="s">
        <v>9</v>
      </c>
      <c r="D25" s="43">
        <v>5200</v>
      </c>
      <c r="E25" s="43"/>
      <c r="F25" s="43"/>
      <c r="G25" s="44"/>
    </row>
    <row r="26" spans="1:7" x14ac:dyDescent="0.25">
      <c r="A26" s="42"/>
      <c r="B26" s="46"/>
      <c r="C26" s="41" t="s">
        <v>7</v>
      </c>
      <c r="D26" s="43">
        <v>3500</v>
      </c>
      <c r="E26" s="43">
        <v>10</v>
      </c>
      <c r="F26" s="46"/>
      <c r="G26" s="48"/>
    </row>
    <row r="27" spans="1:7" x14ac:dyDescent="0.25">
      <c r="A27" s="45"/>
      <c r="B27" s="43" t="s">
        <v>85</v>
      </c>
      <c r="C27" s="41" t="s">
        <v>9</v>
      </c>
      <c r="D27" s="43">
        <v>5000</v>
      </c>
      <c r="E27" s="43"/>
      <c r="F27" s="43"/>
      <c r="G27" s="44"/>
    </row>
    <row r="28" spans="1:7" x14ac:dyDescent="0.25">
      <c r="A28" s="45"/>
      <c r="B28" s="43" t="s">
        <v>92</v>
      </c>
      <c r="C28" s="41" t="s">
        <v>9</v>
      </c>
      <c r="D28" s="43">
        <v>4830</v>
      </c>
      <c r="E28" s="46"/>
      <c r="F28" s="46"/>
      <c r="G28" s="48"/>
    </row>
    <row r="29" spans="1:7" x14ac:dyDescent="0.25">
      <c r="A29" s="42"/>
      <c r="B29" s="46" t="s">
        <v>138</v>
      </c>
      <c r="C29" s="47" t="s">
        <v>7</v>
      </c>
      <c r="D29" s="46">
        <v>1800</v>
      </c>
      <c r="E29" s="46">
        <v>15</v>
      </c>
      <c r="F29" s="43"/>
      <c r="G29" s="44"/>
    </row>
    <row r="30" spans="1:7" x14ac:dyDescent="0.25">
      <c r="A30" s="45"/>
      <c r="B30" s="43"/>
      <c r="C30" s="41" t="s">
        <v>7</v>
      </c>
      <c r="D30" s="43">
        <v>1400</v>
      </c>
      <c r="E30" s="43">
        <v>30</v>
      </c>
      <c r="F30" s="46"/>
      <c r="G30" s="48"/>
    </row>
    <row r="31" spans="1:7" x14ac:dyDescent="0.25">
      <c r="A31" s="42"/>
      <c r="B31" s="43" t="s">
        <v>139</v>
      </c>
      <c r="C31" s="41" t="s">
        <v>7</v>
      </c>
      <c r="D31" s="43">
        <v>1800</v>
      </c>
      <c r="E31" s="43">
        <v>15</v>
      </c>
      <c r="F31" s="43"/>
      <c r="G31" s="44"/>
    </row>
    <row r="32" spans="1:7" x14ac:dyDescent="0.25">
      <c r="A32" s="42"/>
      <c r="B32" s="43"/>
      <c r="C32" s="41" t="s">
        <v>7</v>
      </c>
      <c r="D32" s="43">
        <v>1400</v>
      </c>
      <c r="E32" s="43">
        <v>30</v>
      </c>
      <c r="F32" s="43"/>
      <c r="G32" s="44"/>
    </row>
    <row r="33" spans="1:7" x14ac:dyDescent="0.25">
      <c r="A33" s="45"/>
      <c r="B33" s="43"/>
      <c r="C33" s="41"/>
      <c r="D33" s="43"/>
      <c r="E33" s="43"/>
      <c r="F33" s="46"/>
      <c r="G33" s="44"/>
    </row>
    <row r="34" spans="1:7" x14ac:dyDescent="0.25">
      <c r="A34" s="42"/>
      <c r="B34" s="46"/>
      <c r="C34" s="41"/>
      <c r="D34" s="43"/>
      <c r="E34" s="43"/>
      <c r="F34" s="43"/>
      <c r="G34" s="48"/>
    </row>
    <row r="35" spans="1:7" x14ac:dyDescent="0.25">
      <c r="A35" s="45"/>
      <c r="B35" s="46"/>
      <c r="C35" s="41"/>
      <c r="D35" s="43"/>
      <c r="E35" s="43"/>
      <c r="F35" s="43"/>
      <c r="G35" s="48"/>
    </row>
    <row r="36" spans="1:7" x14ac:dyDescent="0.25">
      <c r="A36" s="42"/>
      <c r="B36" s="43"/>
      <c r="C36" s="41"/>
      <c r="D36" s="43"/>
      <c r="E36" s="43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80" zoomScaleNormal="80" workbookViewId="0">
      <selection activeCell="C12" sqref="C12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94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91</v>
      </c>
      <c r="B5" s="27">
        <v>2500</v>
      </c>
      <c r="C5" s="27">
        <v>500</v>
      </c>
      <c r="D5" s="27">
        <f>'RECTO CURSO CORTO'!$B5/'RECTO CURSO CORTO'!$C5</f>
        <v>5</v>
      </c>
      <c r="E5" s="28">
        <v>1</v>
      </c>
      <c r="G5" s="72" t="s">
        <v>6</v>
      </c>
      <c r="H5" s="35"/>
    </row>
    <row r="6" spans="1:9" ht="19.5" customHeight="1" x14ac:dyDescent="0.3">
      <c r="A6" s="9"/>
      <c r="B6" s="10"/>
      <c r="C6" s="10"/>
      <c r="D6" s="10"/>
      <c r="E6" s="11"/>
      <c r="H6" s="36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  <c r="I7" s="34"/>
    </row>
    <row r="8" spans="1:9" x14ac:dyDescent="0.25">
      <c r="A8" s="42" t="s">
        <v>33</v>
      </c>
      <c r="B8" s="43" t="s">
        <v>91</v>
      </c>
      <c r="C8" s="41" t="s">
        <v>3</v>
      </c>
      <c r="D8" s="43">
        <v>2375</v>
      </c>
      <c r="E8" s="43">
        <v>95</v>
      </c>
      <c r="F8" s="43">
        <v>2375</v>
      </c>
      <c r="G8" s="44">
        <v>90</v>
      </c>
    </row>
    <row r="9" spans="1:9" x14ac:dyDescent="0.25">
      <c r="A9" s="45"/>
      <c r="B9" s="46"/>
      <c r="C9" s="47" t="s">
        <v>3</v>
      </c>
      <c r="D9" s="46">
        <v>2475</v>
      </c>
      <c r="E9" s="46">
        <v>90</v>
      </c>
      <c r="F9" s="46"/>
      <c r="G9" s="48"/>
    </row>
    <row r="10" spans="1:9" x14ac:dyDescent="0.25">
      <c r="A10" s="42"/>
      <c r="B10" s="43"/>
      <c r="C10" s="47" t="s">
        <v>10</v>
      </c>
      <c r="D10" s="43">
        <v>2675</v>
      </c>
      <c r="E10" s="43">
        <v>2</v>
      </c>
      <c r="F10" s="43">
        <v>2750</v>
      </c>
      <c r="G10" s="44">
        <v>0.1</v>
      </c>
    </row>
    <row r="11" spans="1:9" x14ac:dyDescent="0.25">
      <c r="A11" s="42"/>
      <c r="B11" s="43" t="s">
        <v>95</v>
      </c>
      <c r="C11" s="41" t="s">
        <v>3</v>
      </c>
      <c r="D11" s="43">
        <v>2500</v>
      </c>
      <c r="E11" s="43">
        <v>97</v>
      </c>
      <c r="F11" s="43">
        <v>2500</v>
      </c>
      <c r="G11" s="44">
        <v>95</v>
      </c>
    </row>
    <row r="12" spans="1:9" x14ac:dyDescent="0.25">
      <c r="A12" s="42" t="s">
        <v>37</v>
      </c>
      <c r="B12" s="43" t="s">
        <v>84</v>
      </c>
      <c r="C12" s="41" t="s">
        <v>9</v>
      </c>
      <c r="D12" s="43">
        <v>2500</v>
      </c>
      <c r="E12" s="43"/>
      <c r="F12" s="43"/>
      <c r="G12" s="44"/>
    </row>
    <row r="13" spans="1:9" x14ac:dyDescent="0.25">
      <c r="A13" s="45"/>
      <c r="B13" s="46" t="s">
        <v>77</v>
      </c>
      <c r="C13" s="41" t="s">
        <v>9</v>
      </c>
      <c r="D13" s="43">
        <v>2500</v>
      </c>
      <c r="E13" s="46"/>
      <c r="F13" s="46"/>
      <c r="G13" s="48"/>
    </row>
    <row r="14" spans="1:9" x14ac:dyDescent="0.25">
      <c r="A14" s="42"/>
      <c r="B14" s="43" t="s">
        <v>79</v>
      </c>
      <c r="C14" s="41" t="s">
        <v>9</v>
      </c>
      <c r="D14" s="43">
        <v>2500</v>
      </c>
      <c r="E14" s="43"/>
      <c r="F14" s="43"/>
      <c r="G14" s="44"/>
    </row>
    <row r="15" spans="1:9" x14ac:dyDescent="0.25">
      <c r="A15" s="45"/>
      <c r="B15" s="43" t="s">
        <v>80</v>
      </c>
      <c r="C15" s="41" t="s">
        <v>9</v>
      </c>
      <c r="D15" s="43">
        <v>2500</v>
      </c>
      <c r="E15" s="46"/>
      <c r="F15" s="46"/>
      <c r="G15" s="48"/>
    </row>
    <row r="16" spans="1:9" x14ac:dyDescent="0.25">
      <c r="A16" s="42"/>
      <c r="B16" s="43"/>
      <c r="C16" s="41"/>
      <c r="D16" s="43"/>
      <c r="E16" s="43"/>
      <c r="F16" s="43"/>
      <c r="G16" s="44"/>
    </row>
    <row r="17" spans="1:7" x14ac:dyDescent="0.25">
      <c r="A17" s="45"/>
      <c r="B17" s="46"/>
      <c r="C17" s="41"/>
      <c r="D17" s="46"/>
      <c r="E17" s="46"/>
      <c r="F17" s="46"/>
      <c r="G17" s="48"/>
    </row>
    <row r="18" spans="1:7" x14ac:dyDescent="0.25">
      <c r="A18" s="42"/>
      <c r="B18" s="43"/>
      <c r="C18" s="41"/>
      <c r="D18" s="43"/>
      <c r="E18" s="43"/>
      <c r="F18" s="43"/>
      <c r="G18" s="44"/>
    </row>
    <row r="19" spans="1:7" x14ac:dyDescent="0.25">
      <c r="A19" s="45"/>
      <c r="B19" s="46"/>
      <c r="C19" s="41"/>
      <c r="D19" s="46"/>
      <c r="E19" s="46"/>
      <c r="F19" s="46"/>
      <c r="G19" s="48"/>
    </row>
    <row r="20" spans="1:7" x14ac:dyDescent="0.25">
      <c r="A20" s="42"/>
      <c r="B20" s="43"/>
      <c r="C20" s="41"/>
      <c r="D20" s="43"/>
      <c r="E20" s="43"/>
      <c r="F20" s="43"/>
      <c r="G20" s="44"/>
    </row>
    <row r="21" spans="1:7" x14ac:dyDescent="0.25">
      <c r="A21" s="45"/>
      <c r="B21" s="46"/>
      <c r="C21" s="41"/>
      <c r="D21" s="46"/>
      <c r="E21" s="46"/>
      <c r="F21" s="46"/>
      <c r="G21" s="48"/>
    </row>
    <row r="22" spans="1:7" x14ac:dyDescent="0.25">
      <c r="A22" s="42"/>
      <c r="B22" s="43"/>
      <c r="C22" s="41"/>
      <c r="D22" s="43"/>
      <c r="E22" s="43"/>
      <c r="F22" s="43"/>
      <c r="G22" s="44"/>
    </row>
    <row r="23" spans="1:7" x14ac:dyDescent="0.25">
      <c r="A23" s="45"/>
      <c r="B23" s="46"/>
      <c r="C23" s="47"/>
      <c r="D23" s="46"/>
      <c r="E23" s="46"/>
      <c r="F23" s="46"/>
      <c r="G23" s="48"/>
    </row>
    <row r="24" spans="1:7" x14ac:dyDescent="0.25">
      <c r="A24" s="42"/>
      <c r="B24" s="43"/>
      <c r="C24" s="41"/>
      <c r="D24" s="43"/>
      <c r="E24" s="43"/>
      <c r="F24" s="43"/>
      <c r="G24" s="44"/>
    </row>
    <row r="25" spans="1:7" x14ac:dyDescent="0.25">
      <c r="A25" s="45"/>
      <c r="B25" s="46"/>
      <c r="C25" s="47"/>
      <c r="D25" s="46"/>
      <c r="E25" s="46"/>
      <c r="F25" s="46"/>
      <c r="G25" s="48"/>
    </row>
    <row r="26" spans="1:7" x14ac:dyDescent="0.25">
      <c r="A26" s="42"/>
      <c r="B26" s="43"/>
      <c r="C26" s="41"/>
      <c r="D26" s="43"/>
      <c r="E26" s="43"/>
      <c r="F26" s="43"/>
      <c r="G26" s="44"/>
    </row>
    <row r="27" spans="1:7" x14ac:dyDescent="0.25">
      <c r="A27" s="45"/>
      <c r="B27" s="46"/>
      <c r="C27" s="47"/>
      <c r="D27" s="46"/>
      <c r="E27" s="46"/>
      <c r="F27" s="46"/>
      <c r="G27" s="48"/>
    </row>
    <row r="28" spans="1:7" x14ac:dyDescent="0.25">
      <c r="A28" s="42"/>
      <c r="B28" s="43"/>
      <c r="C28" s="41"/>
      <c r="D28" s="43"/>
      <c r="E28" s="43"/>
      <c r="F28" s="43"/>
      <c r="G28" s="44"/>
    </row>
    <row r="29" spans="1:7" x14ac:dyDescent="0.25">
      <c r="A29" s="45"/>
      <c r="B29" s="46"/>
      <c r="C29" s="47"/>
      <c r="D29" s="46"/>
      <c r="E29" s="46"/>
      <c r="F29" s="46"/>
      <c r="G29" s="48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5"/>
      <c r="B31" s="46"/>
      <c r="C31" s="47"/>
      <c r="D31" s="46"/>
      <c r="E31" s="46"/>
      <c r="F31" s="46"/>
      <c r="G31" s="48"/>
    </row>
    <row r="32" spans="1:7" x14ac:dyDescent="0.25">
      <c r="A32" s="45"/>
      <c r="B32" s="46"/>
      <c r="C32" s="47"/>
      <c r="D32" s="46"/>
      <c r="E32" s="46"/>
      <c r="F32" s="46"/>
      <c r="G32" s="48"/>
    </row>
    <row r="33" spans="1:7" x14ac:dyDescent="0.25">
      <c r="A33" s="42"/>
      <c r="B33" s="43"/>
      <c r="C33" s="41"/>
      <c r="D33" s="43"/>
      <c r="E33" s="43"/>
      <c r="F33" s="43"/>
      <c r="G33" s="44"/>
    </row>
    <row r="34" spans="1:7" x14ac:dyDescent="0.25">
      <c r="A34" s="45"/>
      <c r="B34" s="46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3"/>
      <c r="E35" s="43"/>
      <c r="F35" s="43"/>
      <c r="G35" s="44"/>
    </row>
    <row r="36" spans="1:7" x14ac:dyDescent="0.25">
      <c r="A36" s="45"/>
      <c r="B36" s="46"/>
      <c r="C36" s="47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90" zoomScaleNormal="90" workbookViewId="0">
      <selection activeCell="D17" sqref="D17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162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53</v>
      </c>
      <c r="B5" s="27">
        <v>4500</v>
      </c>
      <c r="C5" s="27">
        <v>180</v>
      </c>
      <c r="D5" s="27">
        <f>'RECTO CURSO LARGO 50GY'!$B5/'RECTO CURSO LARGO 50GY'!$C5</f>
        <v>25</v>
      </c>
      <c r="E5" s="28">
        <v>1</v>
      </c>
      <c r="G5" s="72" t="s">
        <v>122</v>
      </c>
      <c r="H5" s="35"/>
    </row>
    <row r="6" spans="1:9" ht="19.5" customHeight="1" x14ac:dyDescent="0.3">
      <c r="A6" s="9" t="s">
        <v>204</v>
      </c>
      <c r="B6" s="10">
        <v>5000</v>
      </c>
      <c r="C6" s="10">
        <v>200</v>
      </c>
      <c r="D6" s="10">
        <f>B6/C6</f>
        <v>25</v>
      </c>
      <c r="E6" s="11">
        <v>1</v>
      </c>
      <c r="H6" s="36"/>
    </row>
    <row r="7" spans="1:9" x14ac:dyDescent="0.25">
      <c r="A7" s="62"/>
      <c r="B7" s="63"/>
      <c r="C7" s="63"/>
      <c r="D7" s="63"/>
      <c r="E7" s="63"/>
      <c r="F7" s="63"/>
      <c r="G7" s="64"/>
      <c r="I7" s="34"/>
    </row>
    <row r="8" spans="1:9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9" x14ac:dyDescent="0.25">
      <c r="A9" s="42" t="s">
        <v>33</v>
      </c>
      <c r="B9" s="43" t="s">
        <v>53</v>
      </c>
      <c r="C9" s="41" t="s">
        <v>3</v>
      </c>
      <c r="D9" s="43">
        <v>4410</v>
      </c>
      <c r="E9" s="43">
        <v>95</v>
      </c>
      <c r="F9" s="43">
        <v>4275</v>
      </c>
      <c r="G9" s="44">
        <v>95</v>
      </c>
    </row>
    <row r="10" spans="1:9" x14ac:dyDescent="0.25">
      <c r="A10" s="42"/>
      <c r="B10" s="43" t="s">
        <v>204</v>
      </c>
      <c r="C10" s="41" t="s">
        <v>3</v>
      </c>
      <c r="D10" s="43">
        <v>4900</v>
      </c>
      <c r="E10" s="43">
        <v>95</v>
      </c>
      <c r="F10" s="43">
        <v>4750</v>
      </c>
      <c r="G10" s="44">
        <v>95</v>
      </c>
    </row>
    <row r="11" spans="1:9" x14ac:dyDescent="0.25">
      <c r="A11" s="42"/>
      <c r="B11" s="43"/>
      <c r="C11" s="41" t="s">
        <v>9</v>
      </c>
      <c r="D11" s="43">
        <v>5350</v>
      </c>
      <c r="E11" s="43"/>
      <c r="F11" s="43"/>
      <c r="G11" s="44"/>
    </row>
    <row r="12" spans="1:9" x14ac:dyDescent="0.25">
      <c r="A12" s="45" t="s">
        <v>37</v>
      </c>
      <c r="B12" s="46" t="s">
        <v>77</v>
      </c>
      <c r="C12" s="41" t="s">
        <v>7</v>
      </c>
      <c r="D12" s="43">
        <v>5000</v>
      </c>
      <c r="E12" s="46">
        <v>5</v>
      </c>
      <c r="F12" s="46">
        <v>5000</v>
      </c>
      <c r="G12" s="48">
        <v>10</v>
      </c>
    </row>
    <row r="13" spans="1:9" x14ac:dyDescent="0.25">
      <c r="A13" s="42"/>
      <c r="B13" s="43"/>
      <c r="C13" s="41" t="s">
        <v>7</v>
      </c>
      <c r="D13" s="43">
        <v>4000</v>
      </c>
      <c r="E13" s="43">
        <v>35</v>
      </c>
      <c r="F13" s="43">
        <v>4000</v>
      </c>
      <c r="G13" s="44">
        <v>50</v>
      </c>
    </row>
    <row r="14" spans="1:9" x14ac:dyDescent="0.25">
      <c r="A14" s="45"/>
      <c r="B14" s="43"/>
      <c r="C14" s="41" t="s">
        <v>7</v>
      </c>
      <c r="D14" s="43">
        <v>3500</v>
      </c>
      <c r="E14" s="46">
        <v>50</v>
      </c>
      <c r="F14" s="46">
        <v>3500</v>
      </c>
      <c r="G14" s="48">
        <v>70</v>
      </c>
    </row>
    <row r="15" spans="1:9" x14ac:dyDescent="0.25">
      <c r="A15" s="42"/>
      <c r="B15" s="90" t="s">
        <v>84</v>
      </c>
      <c r="C15" s="91" t="s">
        <v>10</v>
      </c>
      <c r="D15" s="90">
        <v>5500</v>
      </c>
      <c r="E15" s="90">
        <v>5</v>
      </c>
      <c r="F15" s="90"/>
      <c r="G15" s="92"/>
    </row>
    <row r="16" spans="1:9" x14ac:dyDescent="0.25">
      <c r="A16" s="45"/>
      <c r="B16" s="90"/>
      <c r="C16" s="91" t="s">
        <v>10</v>
      </c>
      <c r="D16" s="90">
        <v>4500</v>
      </c>
      <c r="E16" s="90">
        <v>40</v>
      </c>
      <c r="F16" s="90">
        <v>4500</v>
      </c>
      <c r="G16" s="92">
        <v>60</v>
      </c>
    </row>
    <row r="17" spans="1:7" x14ac:dyDescent="0.25">
      <c r="A17" s="42"/>
      <c r="B17" s="90"/>
      <c r="C17" s="91" t="s">
        <v>10</v>
      </c>
      <c r="D17" s="90">
        <v>3500</v>
      </c>
      <c r="E17" s="90">
        <v>300</v>
      </c>
      <c r="F17" s="90">
        <v>3500</v>
      </c>
      <c r="G17" s="92">
        <v>600</v>
      </c>
    </row>
    <row r="18" spans="1:7" x14ac:dyDescent="0.25">
      <c r="A18" s="42"/>
      <c r="B18" s="90"/>
      <c r="C18" s="91" t="s">
        <v>7</v>
      </c>
      <c r="D18" s="90">
        <v>3500</v>
      </c>
      <c r="E18" s="90">
        <v>35</v>
      </c>
      <c r="F18" s="90">
        <v>3500</v>
      </c>
      <c r="G18" s="92">
        <v>60</v>
      </c>
    </row>
    <row r="19" spans="1:7" x14ac:dyDescent="0.25">
      <c r="A19" s="45"/>
      <c r="B19" s="90"/>
      <c r="C19" s="91" t="s">
        <v>10</v>
      </c>
      <c r="D19" s="90">
        <v>3000</v>
      </c>
      <c r="E19" s="90">
        <v>400</v>
      </c>
      <c r="F19" s="90"/>
      <c r="G19" s="92"/>
    </row>
    <row r="20" spans="1:7" x14ac:dyDescent="0.25">
      <c r="A20" s="42"/>
      <c r="B20" s="43" t="s">
        <v>79</v>
      </c>
      <c r="C20" s="41" t="s">
        <v>7</v>
      </c>
      <c r="D20" s="43">
        <v>4400</v>
      </c>
      <c r="E20" s="43">
        <v>5</v>
      </c>
      <c r="F20" s="43">
        <v>4400</v>
      </c>
      <c r="G20" s="44">
        <v>10</v>
      </c>
    </row>
    <row r="21" spans="1:7" x14ac:dyDescent="0.25">
      <c r="A21" s="45"/>
      <c r="B21" s="43"/>
      <c r="C21" s="41" t="s">
        <v>7</v>
      </c>
      <c r="D21" s="46">
        <v>4000</v>
      </c>
      <c r="E21" s="46">
        <v>35</v>
      </c>
      <c r="F21" s="46"/>
      <c r="G21" s="48"/>
    </row>
    <row r="22" spans="1:7" x14ac:dyDescent="0.25">
      <c r="A22" s="42"/>
      <c r="B22" s="43"/>
      <c r="C22" s="41" t="s">
        <v>7</v>
      </c>
      <c r="D22" s="43">
        <v>3000</v>
      </c>
      <c r="E22" s="43">
        <v>50</v>
      </c>
      <c r="F22" s="43"/>
      <c r="G22" s="44"/>
    </row>
    <row r="23" spans="1:7" x14ac:dyDescent="0.25">
      <c r="A23" s="45"/>
      <c r="B23" s="43" t="s">
        <v>80</v>
      </c>
      <c r="C23" s="41" t="s">
        <v>7</v>
      </c>
      <c r="D23" s="43">
        <v>4400</v>
      </c>
      <c r="E23" s="43">
        <v>5</v>
      </c>
      <c r="F23" s="46">
        <v>4400</v>
      </c>
      <c r="G23" s="48">
        <v>10</v>
      </c>
    </row>
    <row r="24" spans="1:7" x14ac:dyDescent="0.25">
      <c r="A24" s="42"/>
      <c r="B24" s="43"/>
      <c r="C24" s="41" t="s">
        <v>7</v>
      </c>
      <c r="D24" s="46">
        <v>4000</v>
      </c>
      <c r="E24" s="46">
        <v>35</v>
      </c>
      <c r="F24" s="43"/>
      <c r="G24" s="44"/>
    </row>
    <row r="25" spans="1:7" x14ac:dyDescent="0.25">
      <c r="A25" s="45"/>
      <c r="B25" s="43"/>
      <c r="C25" s="41" t="s">
        <v>7</v>
      </c>
      <c r="D25" s="43">
        <v>3000</v>
      </c>
      <c r="E25" s="43">
        <v>50</v>
      </c>
      <c r="F25" s="46"/>
      <c r="G25" s="48"/>
    </row>
    <row r="26" spans="1:7" x14ac:dyDescent="0.25">
      <c r="A26" s="42"/>
      <c r="B26" s="43" t="s">
        <v>97</v>
      </c>
      <c r="C26" s="41" t="s">
        <v>9</v>
      </c>
      <c r="D26" s="43">
        <v>4000</v>
      </c>
      <c r="E26" s="43"/>
      <c r="F26" s="43">
        <v>4500</v>
      </c>
      <c r="G26" s="44"/>
    </row>
    <row r="27" spans="1:7" x14ac:dyDescent="0.25">
      <c r="A27" s="45"/>
      <c r="B27" s="46" t="s">
        <v>98</v>
      </c>
      <c r="C27" s="41" t="s">
        <v>7</v>
      </c>
      <c r="D27" s="43">
        <v>5000</v>
      </c>
      <c r="E27" s="46">
        <v>5</v>
      </c>
      <c r="F27" s="46"/>
      <c r="G27" s="48"/>
    </row>
    <row r="28" spans="1:7" x14ac:dyDescent="0.25">
      <c r="A28" s="42"/>
      <c r="B28" s="43"/>
      <c r="C28" s="41" t="s">
        <v>7</v>
      </c>
      <c r="D28" s="43">
        <v>4000</v>
      </c>
      <c r="E28" s="43">
        <v>35</v>
      </c>
      <c r="F28" s="43"/>
      <c r="G28" s="44"/>
    </row>
    <row r="29" spans="1:7" x14ac:dyDescent="0.25">
      <c r="A29" s="45"/>
      <c r="B29" s="43"/>
      <c r="C29" s="41" t="s">
        <v>7</v>
      </c>
      <c r="D29" s="43">
        <v>3500</v>
      </c>
      <c r="E29" s="46">
        <v>50</v>
      </c>
      <c r="F29" s="46"/>
      <c r="G29" s="48"/>
    </row>
    <row r="30" spans="1:7" x14ac:dyDescent="0.25">
      <c r="A30" s="45"/>
      <c r="B30" s="43" t="s">
        <v>99</v>
      </c>
      <c r="C30" s="47" t="s">
        <v>10</v>
      </c>
      <c r="D30" s="43">
        <v>4500</v>
      </c>
      <c r="E30" s="43">
        <v>40</v>
      </c>
      <c r="F30" s="43"/>
      <c r="G30" s="44"/>
    </row>
    <row r="31" spans="1:7" x14ac:dyDescent="0.25">
      <c r="A31" s="42"/>
      <c r="B31" s="46"/>
      <c r="C31" s="47" t="s">
        <v>10</v>
      </c>
      <c r="D31" s="46">
        <v>3500</v>
      </c>
      <c r="E31" s="46">
        <v>300</v>
      </c>
      <c r="F31" s="46"/>
      <c r="G31" s="48"/>
    </row>
    <row r="32" spans="1:7" x14ac:dyDescent="0.25">
      <c r="A32" s="45"/>
      <c r="B32" s="43"/>
      <c r="C32" s="47" t="s">
        <v>10</v>
      </c>
      <c r="D32" s="46">
        <v>3000</v>
      </c>
      <c r="E32" s="46">
        <v>400</v>
      </c>
      <c r="F32" s="46"/>
      <c r="G32" s="48"/>
    </row>
    <row r="33" spans="1:7" x14ac:dyDescent="0.25">
      <c r="A33" s="45"/>
      <c r="B33" s="43"/>
      <c r="C33" s="47"/>
      <c r="D33" s="46"/>
      <c r="E33" s="46"/>
      <c r="F33" s="46"/>
      <c r="G33" s="48"/>
    </row>
    <row r="34" spans="1:7" x14ac:dyDescent="0.25">
      <c r="A34" s="45"/>
      <c r="B34" s="43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6"/>
      <c r="E35" s="46"/>
      <c r="F35" s="46"/>
      <c r="G35" s="48"/>
    </row>
    <row r="36" spans="1:7" x14ac:dyDescent="0.25">
      <c r="A36" s="45"/>
      <c r="B36" s="46"/>
      <c r="C36" s="41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90" zoomScaleNormal="90" workbookViewId="0">
      <selection activeCell="B6" sqref="B6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161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91</v>
      </c>
      <c r="B5" s="27">
        <v>4500</v>
      </c>
      <c r="C5" s="27">
        <v>180</v>
      </c>
      <c r="D5" s="27">
        <f>'RECTO CURSO LARGO 54GY'!$B5/'RECTO CURSO LARGO 54GY'!$C5</f>
        <v>25</v>
      </c>
      <c r="E5" s="28">
        <v>1</v>
      </c>
      <c r="G5" s="72" t="s">
        <v>122</v>
      </c>
      <c r="H5" s="35"/>
    </row>
    <row r="6" spans="1:9" ht="19.5" customHeight="1" x14ac:dyDescent="0.3">
      <c r="A6" s="9" t="s">
        <v>96</v>
      </c>
      <c r="B6" s="10">
        <v>5400</v>
      </c>
      <c r="C6" s="10">
        <v>216</v>
      </c>
      <c r="D6" s="10">
        <f>B6/C6</f>
        <v>25</v>
      </c>
      <c r="E6" s="11">
        <v>1</v>
      </c>
      <c r="H6" s="36"/>
    </row>
    <row r="7" spans="1:9" x14ac:dyDescent="0.25">
      <c r="A7" s="62"/>
      <c r="B7" s="63"/>
      <c r="C7" s="63"/>
      <c r="D7" s="63"/>
      <c r="E7" s="63"/>
      <c r="F7" s="63"/>
      <c r="G7" s="64"/>
      <c r="I7" s="34"/>
    </row>
    <row r="8" spans="1:9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9" x14ac:dyDescent="0.25">
      <c r="A9" s="42" t="s">
        <v>33</v>
      </c>
      <c r="B9" s="43" t="s">
        <v>91</v>
      </c>
      <c r="C9" s="41" t="s">
        <v>3</v>
      </c>
      <c r="D9" s="43">
        <v>4410</v>
      </c>
      <c r="E9" s="43">
        <v>95</v>
      </c>
      <c r="F9" s="43">
        <v>4275</v>
      </c>
      <c r="G9" s="44">
        <v>95</v>
      </c>
    </row>
    <row r="10" spans="1:9" x14ac:dyDescent="0.25">
      <c r="A10" s="45"/>
      <c r="B10" s="43" t="s">
        <v>96</v>
      </c>
      <c r="C10" s="41" t="s">
        <v>3</v>
      </c>
      <c r="D10" s="43">
        <v>5292</v>
      </c>
      <c r="E10" s="43">
        <v>95</v>
      </c>
      <c r="F10" s="43">
        <v>5130</v>
      </c>
      <c r="G10" s="44">
        <v>95</v>
      </c>
    </row>
    <row r="11" spans="1:9" x14ac:dyDescent="0.25">
      <c r="A11" s="42"/>
      <c r="B11" s="43"/>
      <c r="C11" s="41" t="s">
        <v>9</v>
      </c>
      <c r="D11" s="43">
        <v>5778</v>
      </c>
      <c r="E11" s="43"/>
      <c r="F11" s="43"/>
      <c r="G11" s="44"/>
    </row>
    <row r="12" spans="1:9" x14ac:dyDescent="0.25">
      <c r="A12" s="45" t="s">
        <v>37</v>
      </c>
      <c r="B12" s="46" t="s">
        <v>77</v>
      </c>
      <c r="C12" s="41" t="s">
        <v>7</v>
      </c>
      <c r="D12" s="43">
        <v>5000</v>
      </c>
      <c r="E12" s="46">
        <v>5</v>
      </c>
      <c r="F12" s="46">
        <v>5000</v>
      </c>
      <c r="G12" s="48">
        <v>10</v>
      </c>
    </row>
    <row r="13" spans="1:9" x14ac:dyDescent="0.25">
      <c r="A13" s="42"/>
      <c r="B13" s="43"/>
      <c r="C13" s="41" t="s">
        <v>7</v>
      </c>
      <c r="D13" s="43">
        <v>4000</v>
      </c>
      <c r="E13" s="43">
        <v>35</v>
      </c>
      <c r="F13" s="43">
        <v>4000</v>
      </c>
      <c r="G13" s="44">
        <v>50</v>
      </c>
    </row>
    <row r="14" spans="1:9" x14ac:dyDescent="0.25">
      <c r="A14" s="45"/>
      <c r="B14" s="43"/>
      <c r="C14" s="41" t="s">
        <v>7</v>
      </c>
      <c r="D14" s="43">
        <v>3500</v>
      </c>
      <c r="E14" s="46">
        <v>50</v>
      </c>
      <c r="F14" s="46">
        <v>3500</v>
      </c>
      <c r="G14" s="48">
        <v>70</v>
      </c>
    </row>
    <row r="15" spans="1:9" x14ac:dyDescent="0.25">
      <c r="A15" s="42"/>
      <c r="B15" s="90" t="s">
        <v>84</v>
      </c>
      <c r="C15" s="91" t="s">
        <v>10</v>
      </c>
      <c r="D15" s="90">
        <v>5500</v>
      </c>
      <c r="E15" s="90">
        <v>5</v>
      </c>
      <c r="F15" s="90"/>
      <c r="G15" s="92"/>
    </row>
    <row r="16" spans="1:9" x14ac:dyDescent="0.25">
      <c r="A16" s="45"/>
      <c r="B16" s="90"/>
      <c r="C16" s="91" t="s">
        <v>10</v>
      </c>
      <c r="D16" s="90">
        <v>4500</v>
      </c>
      <c r="E16" s="90">
        <v>40</v>
      </c>
      <c r="F16" s="90">
        <v>4500</v>
      </c>
      <c r="G16" s="92">
        <v>60</v>
      </c>
    </row>
    <row r="17" spans="1:7" x14ac:dyDescent="0.25">
      <c r="A17" s="42"/>
      <c r="B17" s="90"/>
      <c r="C17" s="91" t="s">
        <v>10</v>
      </c>
      <c r="D17" s="90">
        <v>3500</v>
      </c>
      <c r="E17" s="90">
        <v>300</v>
      </c>
      <c r="F17" s="90">
        <v>3500</v>
      </c>
      <c r="G17" s="92">
        <v>600</v>
      </c>
    </row>
    <row r="18" spans="1:7" x14ac:dyDescent="0.25">
      <c r="A18" s="42"/>
      <c r="B18" s="90"/>
      <c r="C18" s="91" t="s">
        <v>7</v>
      </c>
      <c r="D18" s="90">
        <v>3500</v>
      </c>
      <c r="E18" s="90">
        <v>35</v>
      </c>
      <c r="F18" s="90">
        <v>3500</v>
      </c>
      <c r="G18" s="92">
        <v>60</v>
      </c>
    </row>
    <row r="19" spans="1:7" x14ac:dyDescent="0.25">
      <c r="A19" s="45"/>
      <c r="B19" s="90"/>
      <c r="C19" s="91" t="s">
        <v>10</v>
      </c>
      <c r="D19" s="90">
        <v>3000</v>
      </c>
      <c r="E19" s="90">
        <v>400</v>
      </c>
      <c r="F19" s="90"/>
      <c r="G19" s="92"/>
    </row>
    <row r="20" spans="1:7" x14ac:dyDescent="0.25">
      <c r="A20" s="42"/>
      <c r="B20" s="43" t="s">
        <v>79</v>
      </c>
      <c r="C20" s="41" t="s">
        <v>7</v>
      </c>
      <c r="D20" s="43">
        <v>4400</v>
      </c>
      <c r="E20" s="43">
        <v>5</v>
      </c>
      <c r="F20" s="43">
        <v>4400</v>
      </c>
      <c r="G20" s="44">
        <v>10</v>
      </c>
    </row>
    <row r="21" spans="1:7" x14ac:dyDescent="0.25">
      <c r="A21" s="45"/>
      <c r="B21" s="43"/>
      <c r="C21" s="41" t="s">
        <v>7</v>
      </c>
      <c r="D21" s="46">
        <v>4000</v>
      </c>
      <c r="E21" s="46">
        <v>35</v>
      </c>
      <c r="F21" s="46"/>
      <c r="G21" s="48"/>
    </row>
    <row r="22" spans="1:7" x14ac:dyDescent="0.25">
      <c r="A22" s="42"/>
      <c r="B22" s="43"/>
      <c r="C22" s="41" t="s">
        <v>7</v>
      </c>
      <c r="D22" s="43">
        <v>3000</v>
      </c>
      <c r="E22" s="43">
        <v>50</v>
      </c>
      <c r="F22" s="43"/>
      <c r="G22" s="44"/>
    </row>
    <row r="23" spans="1:7" x14ac:dyDescent="0.25">
      <c r="A23" s="45"/>
      <c r="B23" s="43" t="s">
        <v>80</v>
      </c>
      <c r="C23" s="41" t="s">
        <v>7</v>
      </c>
      <c r="D23" s="43">
        <v>4400</v>
      </c>
      <c r="E23" s="43">
        <v>5</v>
      </c>
      <c r="F23" s="46">
        <v>4400</v>
      </c>
      <c r="G23" s="48">
        <v>10</v>
      </c>
    </row>
    <row r="24" spans="1:7" x14ac:dyDescent="0.25">
      <c r="A24" s="42"/>
      <c r="B24" s="43"/>
      <c r="C24" s="41" t="s">
        <v>7</v>
      </c>
      <c r="D24" s="46">
        <v>4000</v>
      </c>
      <c r="E24" s="46">
        <v>35</v>
      </c>
      <c r="F24" s="43"/>
      <c r="G24" s="44"/>
    </row>
    <row r="25" spans="1:7" x14ac:dyDescent="0.25">
      <c r="A25" s="45"/>
      <c r="B25" s="43"/>
      <c r="C25" s="41" t="s">
        <v>7</v>
      </c>
      <c r="D25" s="43">
        <v>3000</v>
      </c>
      <c r="E25" s="43">
        <v>50</v>
      </c>
      <c r="F25" s="46"/>
      <c r="G25" s="48"/>
    </row>
    <row r="26" spans="1:7" x14ac:dyDescent="0.25">
      <c r="A26" s="42"/>
      <c r="B26" s="43" t="s">
        <v>97</v>
      </c>
      <c r="C26" s="41" t="s">
        <v>9</v>
      </c>
      <c r="D26" s="43">
        <v>4000</v>
      </c>
      <c r="E26" s="43"/>
      <c r="F26" s="43">
        <v>4500</v>
      </c>
      <c r="G26" s="44"/>
    </row>
    <row r="27" spans="1:7" x14ac:dyDescent="0.25">
      <c r="A27" s="45"/>
      <c r="B27" s="46" t="s">
        <v>98</v>
      </c>
      <c r="C27" s="41" t="s">
        <v>7</v>
      </c>
      <c r="D27" s="43">
        <v>5000</v>
      </c>
      <c r="E27" s="46">
        <v>5</v>
      </c>
      <c r="F27" s="46"/>
      <c r="G27" s="48"/>
    </row>
    <row r="28" spans="1:7" x14ac:dyDescent="0.25">
      <c r="A28" s="42"/>
      <c r="B28" s="43"/>
      <c r="C28" s="41" t="s">
        <v>7</v>
      </c>
      <c r="D28" s="43">
        <v>4000</v>
      </c>
      <c r="E28" s="43">
        <v>35</v>
      </c>
      <c r="F28" s="43"/>
      <c r="G28" s="44"/>
    </row>
    <row r="29" spans="1:7" x14ac:dyDescent="0.25">
      <c r="A29" s="45"/>
      <c r="B29" s="43"/>
      <c r="C29" s="41" t="s">
        <v>7</v>
      </c>
      <c r="D29" s="43">
        <v>3500</v>
      </c>
      <c r="E29" s="46">
        <v>50</v>
      </c>
      <c r="F29" s="46"/>
      <c r="G29" s="48"/>
    </row>
    <row r="30" spans="1:7" x14ac:dyDescent="0.25">
      <c r="A30" s="45"/>
      <c r="B30" s="43" t="s">
        <v>99</v>
      </c>
      <c r="C30" s="47" t="s">
        <v>10</v>
      </c>
      <c r="D30" s="43">
        <v>4500</v>
      </c>
      <c r="E30" s="43">
        <v>40</v>
      </c>
      <c r="F30" s="43"/>
      <c r="G30" s="44"/>
    </row>
    <row r="31" spans="1:7" x14ac:dyDescent="0.25">
      <c r="A31" s="42"/>
      <c r="B31" s="46"/>
      <c r="C31" s="47" t="s">
        <v>10</v>
      </c>
      <c r="D31" s="46">
        <v>3500</v>
      </c>
      <c r="E31" s="46">
        <v>300</v>
      </c>
      <c r="F31" s="46"/>
      <c r="G31" s="48"/>
    </row>
    <row r="32" spans="1:7" x14ac:dyDescent="0.25">
      <c r="A32" s="45"/>
      <c r="B32" s="43"/>
      <c r="C32" s="47" t="s">
        <v>10</v>
      </c>
      <c r="D32" s="46">
        <v>3000</v>
      </c>
      <c r="E32" s="46">
        <v>400</v>
      </c>
      <c r="F32" s="46"/>
      <c r="G32" s="48"/>
    </row>
    <row r="33" spans="1:7" x14ac:dyDescent="0.25">
      <c r="A33" s="42"/>
      <c r="B33" s="46"/>
      <c r="C33" s="47"/>
      <c r="D33" s="46"/>
      <c r="E33" s="46"/>
      <c r="F33" s="46"/>
      <c r="G33" s="48"/>
    </row>
    <row r="34" spans="1:7" x14ac:dyDescent="0.25">
      <c r="A34" s="45"/>
      <c r="B34" s="43"/>
      <c r="C34" s="47"/>
      <c r="D34" s="46"/>
      <c r="E34" s="46"/>
      <c r="F34" s="46"/>
      <c r="G34" s="48"/>
    </row>
    <row r="35" spans="1:7" x14ac:dyDescent="0.25">
      <c r="A35" s="42"/>
      <c r="B35" s="43"/>
      <c r="C35" s="41"/>
      <c r="D35" s="46"/>
      <c r="E35" s="46"/>
      <c r="F35" s="46"/>
      <c r="G35" s="48"/>
    </row>
    <row r="36" spans="1:7" x14ac:dyDescent="0.25">
      <c r="A36" s="45"/>
      <c r="B36" s="46"/>
      <c r="C36" s="41"/>
      <c r="D36" s="46"/>
      <c r="E36" s="46"/>
      <c r="F36" s="46"/>
      <c r="G36" s="48"/>
    </row>
    <row r="37" spans="1:7" x14ac:dyDescent="0.25">
      <c r="A37" s="42"/>
      <c r="B37" s="43"/>
      <c r="C37" s="41"/>
      <c r="D37" s="43"/>
      <c r="E37" s="43"/>
      <c r="F37" s="43"/>
      <c r="G37" s="44"/>
    </row>
    <row r="38" spans="1:7" x14ac:dyDescent="0.25">
      <c r="A38" s="45"/>
      <c r="B38" s="46"/>
      <c r="C38" s="47"/>
      <c r="D38" s="46"/>
      <c r="E38" s="46"/>
      <c r="F38" s="46"/>
      <c r="G38" s="48"/>
    </row>
    <row r="39" spans="1:7" x14ac:dyDescent="0.25">
      <c r="A39" s="42"/>
      <c r="B39" s="43"/>
      <c r="C39" s="41"/>
      <c r="D39" s="43"/>
      <c r="E39" s="43"/>
      <c r="F39" s="43"/>
      <c r="G39" s="44"/>
    </row>
    <row r="40" spans="1:7" x14ac:dyDescent="0.25">
      <c r="A40" s="45"/>
      <c r="B40" s="46"/>
      <c r="C40" s="47"/>
      <c r="D40" s="46"/>
      <c r="E40" s="46"/>
      <c r="F40" s="46"/>
      <c r="G40" s="48"/>
    </row>
    <row r="41" spans="1:7" x14ac:dyDescent="0.25">
      <c r="A41" s="42"/>
      <c r="B41" s="43"/>
      <c r="C41" s="41"/>
      <c r="D41" s="43"/>
      <c r="E41" s="43"/>
      <c r="F41" s="43"/>
      <c r="G41" s="44"/>
    </row>
    <row r="42" spans="1:7" x14ac:dyDescent="0.25">
      <c r="A42" s="45"/>
      <c r="B42" s="46"/>
      <c r="C42" s="47"/>
      <c r="D42" s="46"/>
      <c r="E42" s="46"/>
      <c r="F42" s="46"/>
      <c r="G42" s="48"/>
    </row>
    <row r="43" spans="1:7" x14ac:dyDescent="0.25">
      <c r="A43" s="42"/>
      <c r="B43" s="43"/>
      <c r="C43" s="41"/>
      <c r="D43" s="43"/>
      <c r="E43" s="43"/>
      <c r="F43" s="43"/>
      <c r="G43" s="44"/>
    </row>
    <row r="44" spans="1:7" x14ac:dyDescent="0.25">
      <c r="A44" s="45"/>
      <c r="B44" s="46"/>
      <c r="C44" s="47"/>
      <c r="D44" s="46"/>
      <c r="E44" s="46"/>
      <c r="F44" s="46"/>
      <c r="G44" s="48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5" t="s">
        <v>41</v>
      </c>
      <c r="B46" s="6"/>
      <c r="C46" s="7"/>
      <c r="D46" s="6"/>
      <c r="E46" s="6"/>
      <c r="F46" s="6"/>
      <c r="G46" s="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2" zoomScale="90" zoomScaleNormal="90" workbookViewId="0">
      <selection activeCell="B32" sqref="B32:E35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114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178</v>
      </c>
      <c r="B5" s="27">
        <v>7000</v>
      </c>
      <c r="C5" s="27">
        <v>200</v>
      </c>
      <c r="D5" s="27">
        <f>B5/C5</f>
        <v>35</v>
      </c>
      <c r="E5" s="28">
        <v>1</v>
      </c>
      <c r="G5" s="72" t="s">
        <v>122</v>
      </c>
    </row>
    <row r="6" spans="1:7" x14ac:dyDescent="0.25">
      <c r="A6" s="26" t="s">
        <v>179</v>
      </c>
      <c r="B6" s="27">
        <v>6300</v>
      </c>
      <c r="C6" s="27">
        <v>180</v>
      </c>
      <c r="D6" s="27">
        <f>B6/C6</f>
        <v>35</v>
      </c>
      <c r="E6" s="28">
        <v>1</v>
      </c>
    </row>
    <row r="7" spans="1:7" x14ac:dyDescent="0.25">
      <c r="A7" s="9" t="s">
        <v>180</v>
      </c>
      <c r="B7" s="10">
        <v>5600</v>
      </c>
      <c r="C7" s="10">
        <v>160</v>
      </c>
      <c r="D7" s="10">
        <f>B7/C7</f>
        <v>35</v>
      </c>
      <c r="E7" s="11">
        <v>1</v>
      </c>
    </row>
    <row r="9" spans="1:7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7" x14ac:dyDescent="0.25">
      <c r="A10" s="42" t="s">
        <v>33</v>
      </c>
      <c r="B10" s="43" t="s">
        <v>178</v>
      </c>
      <c r="C10" s="41" t="s">
        <v>3</v>
      </c>
      <c r="D10" s="43">
        <v>6860</v>
      </c>
      <c r="E10" s="43">
        <v>95</v>
      </c>
      <c r="F10" s="43">
        <v>6650</v>
      </c>
      <c r="G10" s="44">
        <v>95</v>
      </c>
    </row>
    <row r="11" spans="1:7" x14ac:dyDescent="0.25">
      <c r="A11" s="45"/>
      <c r="B11" s="46"/>
      <c r="C11" s="47" t="s">
        <v>9</v>
      </c>
      <c r="D11" s="46">
        <v>7490</v>
      </c>
      <c r="E11" s="46"/>
      <c r="F11" s="46"/>
      <c r="G11" s="48"/>
    </row>
    <row r="12" spans="1:7" x14ac:dyDescent="0.25">
      <c r="A12" s="42"/>
      <c r="B12" s="43" t="s">
        <v>179</v>
      </c>
      <c r="C12" s="41" t="s">
        <v>3</v>
      </c>
      <c r="D12" s="43">
        <v>6174</v>
      </c>
      <c r="E12" s="43">
        <v>95</v>
      </c>
      <c r="F12" s="43">
        <v>5985</v>
      </c>
      <c r="G12" s="44">
        <v>95</v>
      </c>
    </row>
    <row r="13" spans="1:7" x14ac:dyDescent="0.25">
      <c r="A13" s="45"/>
      <c r="B13" s="46"/>
      <c r="C13" s="47" t="s">
        <v>9</v>
      </c>
      <c r="D13" s="46">
        <v>7490</v>
      </c>
      <c r="E13" s="46"/>
      <c r="F13" s="46"/>
      <c r="G13" s="48"/>
    </row>
    <row r="14" spans="1:7" x14ac:dyDescent="0.25">
      <c r="A14" s="42"/>
      <c r="B14" s="43" t="s">
        <v>180</v>
      </c>
      <c r="C14" s="41" t="s">
        <v>3</v>
      </c>
      <c r="D14" s="43">
        <v>5488</v>
      </c>
      <c r="E14" s="43">
        <v>95</v>
      </c>
      <c r="F14" s="43">
        <v>5320</v>
      </c>
      <c r="G14" s="44">
        <v>95</v>
      </c>
    </row>
    <row r="15" spans="1:7" x14ac:dyDescent="0.25">
      <c r="A15" s="45"/>
      <c r="B15" s="46"/>
      <c r="C15" s="47" t="s">
        <v>9</v>
      </c>
      <c r="D15" s="46">
        <v>7490</v>
      </c>
      <c r="E15" s="46"/>
      <c r="F15" s="46"/>
      <c r="G15" s="48"/>
    </row>
    <row r="16" spans="1:7" x14ac:dyDescent="0.25">
      <c r="A16" s="45" t="s">
        <v>37</v>
      </c>
      <c r="B16" s="43" t="s">
        <v>100</v>
      </c>
      <c r="C16" s="41" t="s">
        <v>9</v>
      </c>
      <c r="D16" s="43">
        <v>5000</v>
      </c>
      <c r="E16" s="43"/>
      <c r="F16" s="43">
        <v>5400</v>
      </c>
      <c r="G16" s="44"/>
    </row>
    <row r="17" spans="1:7" x14ac:dyDescent="0.25">
      <c r="A17" s="45"/>
      <c r="B17" s="43" t="s">
        <v>54</v>
      </c>
      <c r="C17" s="41" t="s">
        <v>9</v>
      </c>
      <c r="D17" s="43">
        <v>4500</v>
      </c>
      <c r="E17" s="43"/>
      <c r="F17" s="43"/>
      <c r="G17" s="48"/>
    </row>
    <row r="18" spans="1:7" x14ac:dyDescent="0.25">
      <c r="A18" s="45"/>
      <c r="B18" s="43" t="s">
        <v>101</v>
      </c>
      <c r="C18" s="41" t="s">
        <v>9</v>
      </c>
      <c r="D18" s="43">
        <v>5400</v>
      </c>
      <c r="E18" s="43"/>
      <c r="F18" s="43"/>
      <c r="G18" s="44"/>
    </row>
    <row r="19" spans="1:7" x14ac:dyDescent="0.25">
      <c r="A19" s="42"/>
      <c r="B19" s="46" t="s">
        <v>102</v>
      </c>
      <c r="C19" s="41" t="s">
        <v>9</v>
      </c>
      <c r="D19" s="46">
        <v>5400</v>
      </c>
      <c r="E19" s="46"/>
      <c r="F19" s="46"/>
      <c r="G19" s="48"/>
    </row>
    <row r="20" spans="1:7" x14ac:dyDescent="0.25">
      <c r="A20" s="42"/>
      <c r="B20" s="46" t="s">
        <v>103</v>
      </c>
      <c r="C20" s="41" t="s">
        <v>9</v>
      </c>
      <c r="D20" s="46">
        <v>5400</v>
      </c>
      <c r="E20" s="46"/>
      <c r="F20" s="46"/>
      <c r="G20" s="44"/>
    </row>
    <row r="21" spans="1:7" x14ac:dyDescent="0.25">
      <c r="A21" s="45"/>
      <c r="B21" s="46" t="s">
        <v>104</v>
      </c>
      <c r="C21" s="41" t="s">
        <v>9</v>
      </c>
      <c r="D21" s="46">
        <v>4000</v>
      </c>
      <c r="E21" s="46"/>
      <c r="F21" s="46">
        <v>4500</v>
      </c>
      <c r="G21" s="48"/>
    </row>
    <row r="22" spans="1:7" x14ac:dyDescent="0.25">
      <c r="A22" s="45"/>
      <c r="B22" s="46" t="s">
        <v>105</v>
      </c>
      <c r="C22" s="41" t="s">
        <v>9</v>
      </c>
      <c r="D22" s="46">
        <v>4000</v>
      </c>
      <c r="E22" s="46"/>
      <c r="F22" s="46">
        <v>4500</v>
      </c>
      <c r="G22" s="48"/>
    </row>
    <row r="23" spans="1:7" x14ac:dyDescent="0.25">
      <c r="A23" s="42"/>
      <c r="B23" s="43" t="s">
        <v>106</v>
      </c>
      <c r="C23" s="41" t="s">
        <v>9</v>
      </c>
      <c r="D23" s="43">
        <v>700</v>
      </c>
      <c r="E23" s="43"/>
      <c r="F23" s="43">
        <v>1000</v>
      </c>
      <c r="G23" s="48"/>
    </row>
    <row r="24" spans="1:7" x14ac:dyDescent="0.25">
      <c r="A24" s="42"/>
      <c r="B24" s="43" t="s">
        <v>107</v>
      </c>
      <c r="C24" s="41" t="s">
        <v>9</v>
      </c>
      <c r="D24" s="43">
        <v>700</v>
      </c>
      <c r="E24" s="43"/>
      <c r="F24" s="43">
        <v>1000</v>
      </c>
      <c r="G24" s="48"/>
    </row>
    <row r="25" spans="1:7" x14ac:dyDescent="0.25">
      <c r="A25" s="45"/>
      <c r="B25" s="43" t="s">
        <v>108</v>
      </c>
      <c r="C25" s="41" t="s">
        <v>9</v>
      </c>
      <c r="D25" s="43">
        <v>7000</v>
      </c>
      <c r="E25" s="43"/>
      <c r="F25" s="43"/>
      <c r="G25" s="44"/>
    </row>
    <row r="26" spans="1:7" x14ac:dyDescent="0.25">
      <c r="A26" s="42"/>
      <c r="B26" s="43" t="s">
        <v>109</v>
      </c>
      <c r="C26" s="41" t="s">
        <v>9</v>
      </c>
      <c r="D26" s="43">
        <v>6000</v>
      </c>
      <c r="E26" s="43"/>
      <c r="F26" s="43"/>
      <c r="G26" s="44"/>
    </row>
    <row r="27" spans="1:7" x14ac:dyDescent="0.25">
      <c r="A27" s="45"/>
      <c r="B27" s="46" t="s">
        <v>57</v>
      </c>
      <c r="C27" s="41" t="s">
        <v>10</v>
      </c>
      <c r="D27" s="46">
        <v>5100</v>
      </c>
      <c r="E27" s="46">
        <v>5</v>
      </c>
      <c r="F27" s="43"/>
      <c r="G27" s="44"/>
    </row>
    <row r="28" spans="1:7" x14ac:dyDescent="0.25">
      <c r="A28" s="45"/>
      <c r="B28" s="43" t="s">
        <v>110</v>
      </c>
      <c r="C28" s="41" t="s">
        <v>8</v>
      </c>
      <c r="D28" s="46">
        <v>3000</v>
      </c>
      <c r="E28" s="46"/>
      <c r="F28" s="46">
        <v>5000</v>
      </c>
      <c r="G28" s="48"/>
    </row>
    <row r="29" spans="1:7" x14ac:dyDescent="0.25">
      <c r="A29" s="42"/>
      <c r="B29" s="46" t="s">
        <v>111</v>
      </c>
      <c r="C29" s="41" t="s">
        <v>8</v>
      </c>
      <c r="D29" s="46">
        <v>2600</v>
      </c>
      <c r="E29" s="46"/>
      <c r="F29" s="46"/>
      <c r="G29" s="48"/>
    </row>
    <row r="30" spans="1:7" x14ac:dyDescent="0.25">
      <c r="A30" s="42"/>
      <c r="B30" s="46" t="s">
        <v>112</v>
      </c>
      <c r="C30" s="41" t="s">
        <v>8</v>
      </c>
      <c r="D30" s="46">
        <v>2600</v>
      </c>
      <c r="E30" s="46"/>
      <c r="F30" s="46"/>
      <c r="G30" s="44"/>
    </row>
    <row r="31" spans="1:7" x14ac:dyDescent="0.25">
      <c r="A31" s="45"/>
      <c r="B31" s="46" t="s">
        <v>181</v>
      </c>
      <c r="C31" s="41" t="s">
        <v>8</v>
      </c>
      <c r="D31" s="46">
        <v>2000</v>
      </c>
      <c r="E31" s="46"/>
      <c r="F31" s="46"/>
      <c r="G31" s="44"/>
    </row>
    <row r="32" spans="1:7" x14ac:dyDescent="0.25">
      <c r="A32" s="42"/>
      <c r="B32" s="46" t="s">
        <v>113</v>
      </c>
      <c r="C32" s="41" t="s">
        <v>7</v>
      </c>
      <c r="D32" s="46">
        <v>5000</v>
      </c>
      <c r="E32" s="46">
        <v>27</v>
      </c>
      <c r="F32" s="43"/>
      <c r="G32" s="44"/>
    </row>
    <row r="33" spans="1:7" x14ac:dyDescent="0.25">
      <c r="A33" s="45"/>
      <c r="B33" s="43"/>
      <c r="C33" s="41" t="s">
        <v>8</v>
      </c>
      <c r="D33" s="43">
        <v>4400</v>
      </c>
      <c r="E33" s="43"/>
      <c r="F33" s="43"/>
      <c r="G33" s="48"/>
    </row>
    <row r="34" spans="1:7" x14ac:dyDescent="0.25">
      <c r="A34" s="42"/>
      <c r="B34" s="43" t="s">
        <v>182</v>
      </c>
      <c r="C34" s="41" t="s">
        <v>8</v>
      </c>
      <c r="D34" s="43">
        <v>4500</v>
      </c>
      <c r="E34" s="43"/>
      <c r="F34" s="43"/>
      <c r="G34" s="48"/>
    </row>
    <row r="35" spans="1:7" x14ac:dyDescent="0.25">
      <c r="A35" s="45"/>
      <c r="B35" s="46" t="s">
        <v>183</v>
      </c>
      <c r="C35" s="41" t="s">
        <v>8</v>
      </c>
      <c r="D35" s="46">
        <v>4500</v>
      </c>
      <c r="E35" s="46"/>
      <c r="F35" s="46"/>
      <c r="G35" s="48"/>
    </row>
    <row r="36" spans="1:7" x14ac:dyDescent="0.25">
      <c r="A36" s="42"/>
      <c r="B36" s="46"/>
      <c r="C36" s="41"/>
      <c r="D36" s="46"/>
      <c r="E36" s="46"/>
      <c r="F36" s="46"/>
      <c r="G36" s="48"/>
    </row>
    <row r="37" spans="1:7" x14ac:dyDescent="0.25">
      <c r="A37" s="45"/>
      <c r="B37" s="43"/>
      <c r="C37" s="41"/>
      <c r="D37" s="43"/>
      <c r="E37" s="43"/>
      <c r="F37" s="43"/>
      <c r="G37" s="44"/>
    </row>
    <row r="38" spans="1:7" x14ac:dyDescent="0.25">
      <c r="A38" s="42"/>
      <c r="B38" s="46"/>
      <c r="C38" s="41"/>
      <c r="D38" s="46"/>
      <c r="E38" s="46"/>
      <c r="F38" s="46"/>
      <c r="G38" s="48"/>
    </row>
    <row r="39" spans="1:7" x14ac:dyDescent="0.25">
      <c r="A39" s="45"/>
      <c r="B39" s="43"/>
      <c r="C39" s="41"/>
      <c r="D39" s="43"/>
      <c r="E39" s="43"/>
      <c r="F39" s="43"/>
      <c r="G39" s="44"/>
    </row>
    <row r="40" spans="1:7" x14ac:dyDescent="0.25">
      <c r="A40" s="42"/>
      <c r="B40" s="46"/>
      <c r="C40" s="41"/>
      <c r="D40" s="46"/>
      <c r="E40" s="46"/>
      <c r="F40" s="46"/>
      <c r="G40" s="44"/>
    </row>
    <row r="41" spans="1:7" x14ac:dyDescent="0.25">
      <c r="A41" s="45"/>
      <c r="B41" s="43"/>
      <c r="C41" s="41"/>
      <c r="D41" s="43"/>
      <c r="E41" s="43"/>
      <c r="F41" s="43"/>
      <c r="G41" s="48"/>
    </row>
    <row r="42" spans="1:7" x14ac:dyDescent="0.25">
      <c r="A42" s="42"/>
      <c r="B42" s="46"/>
      <c r="C42" s="41"/>
      <c r="D42" s="46"/>
      <c r="E42" s="46"/>
      <c r="F42" s="46"/>
      <c r="G42" s="44"/>
    </row>
    <row r="43" spans="1:7" x14ac:dyDescent="0.25">
      <c r="A43" s="45"/>
      <c r="B43" s="43"/>
      <c r="C43" s="41"/>
      <c r="D43" s="43"/>
      <c r="E43" s="43"/>
      <c r="F43" s="43"/>
      <c r="G43" s="48"/>
    </row>
    <row r="44" spans="1:7" x14ac:dyDescent="0.25">
      <c r="A44" s="65"/>
      <c r="B44" s="66"/>
      <c r="C44" s="66"/>
      <c r="D44" s="66"/>
      <c r="E44" s="66"/>
      <c r="F44" s="66"/>
      <c r="G44" s="67"/>
    </row>
    <row r="46" spans="1:7" x14ac:dyDescent="0.25">
      <c r="A46" s="65" t="s">
        <v>41</v>
      </c>
      <c r="B46" s="66"/>
      <c r="C46" s="66"/>
      <c r="D46" s="66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90" zoomScaleNormal="90" workbookViewId="0">
      <selection activeCell="E39" sqref="E39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115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6" t="s">
        <v>178</v>
      </c>
      <c r="B5" s="27">
        <v>7000</v>
      </c>
      <c r="C5" s="27">
        <v>200</v>
      </c>
      <c r="D5" s="27">
        <f>B5/C5</f>
        <v>35</v>
      </c>
      <c r="E5" s="28">
        <v>1</v>
      </c>
      <c r="G5" s="72" t="s">
        <v>122</v>
      </c>
    </row>
    <row r="6" spans="1:7" x14ac:dyDescent="0.25">
      <c r="A6" s="9" t="s">
        <v>179</v>
      </c>
      <c r="B6" s="10">
        <v>6300</v>
      </c>
      <c r="C6" s="10">
        <v>180</v>
      </c>
      <c r="D6" s="10">
        <v>35</v>
      </c>
      <c r="E6" s="11">
        <v>1</v>
      </c>
    </row>
    <row r="7" spans="1:7" x14ac:dyDescent="0.25">
      <c r="A7" s="53"/>
      <c r="B7" s="54"/>
      <c r="C7" s="54"/>
      <c r="D7" s="54"/>
      <c r="E7" s="55"/>
    </row>
    <row r="8" spans="1:7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7" x14ac:dyDescent="0.25">
      <c r="A9" s="42" t="s">
        <v>33</v>
      </c>
      <c r="B9" s="43" t="s">
        <v>178</v>
      </c>
      <c r="C9" s="41" t="s">
        <v>3</v>
      </c>
      <c r="D9" s="43">
        <v>6860</v>
      </c>
      <c r="E9" s="43">
        <v>95</v>
      </c>
      <c r="F9" s="43">
        <v>6650</v>
      </c>
      <c r="G9" s="44">
        <v>95</v>
      </c>
    </row>
    <row r="10" spans="1:7" x14ac:dyDescent="0.25">
      <c r="A10" s="45"/>
      <c r="B10" s="46"/>
      <c r="C10" s="47" t="s">
        <v>9</v>
      </c>
      <c r="D10" s="46">
        <v>7490</v>
      </c>
      <c r="E10" s="46"/>
      <c r="F10" s="46"/>
      <c r="G10" s="48"/>
    </row>
    <row r="11" spans="1:7" x14ac:dyDescent="0.25">
      <c r="A11" s="42"/>
      <c r="B11" s="43" t="s">
        <v>179</v>
      </c>
      <c r="C11" s="41" t="s">
        <v>3</v>
      </c>
      <c r="D11" s="43">
        <v>6174</v>
      </c>
      <c r="E11" s="43">
        <v>95</v>
      </c>
      <c r="F11" s="43">
        <v>5985</v>
      </c>
      <c r="G11" s="44">
        <v>95</v>
      </c>
    </row>
    <row r="12" spans="1:7" x14ac:dyDescent="0.25">
      <c r="A12" s="45"/>
      <c r="B12" s="46"/>
      <c r="C12" s="47" t="s">
        <v>9</v>
      </c>
      <c r="D12" s="46">
        <v>7490</v>
      </c>
      <c r="E12" s="46"/>
      <c r="F12" s="46"/>
      <c r="G12" s="48"/>
    </row>
    <row r="13" spans="1:7" x14ac:dyDescent="0.25">
      <c r="A13" s="45" t="s">
        <v>37</v>
      </c>
      <c r="B13" s="43" t="s">
        <v>100</v>
      </c>
      <c r="C13" s="41" t="s">
        <v>9</v>
      </c>
      <c r="D13" s="43">
        <v>5000</v>
      </c>
      <c r="E13" s="43"/>
      <c r="F13" s="43">
        <v>5400</v>
      </c>
      <c r="G13" s="44"/>
    </row>
    <row r="14" spans="1:7" x14ac:dyDescent="0.25">
      <c r="A14" s="45"/>
      <c r="B14" s="43" t="s">
        <v>54</v>
      </c>
      <c r="C14" s="41" t="s">
        <v>9</v>
      </c>
      <c r="D14" s="43">
        <v>4500</v>
      </c>
      <c r="E14" s="43"/>
      <c r="F14" s="43"/>
      <c r="G14" s="48"/>
    </row>
    <row r="15" spans="1:7" x14ac:dyDescent="0.25">
      <c r="A15" s="45"/>
      <c r="B15" s="43" t="s">
        <v>101</v>
      </c>
      <c r="C15" s="41" t="s">
        <v>9</v>
      </c>
      <c r="D15" s="43">
        <v>5400</v>
      </c>
      <c r="E15" s="43"/>
      <c r="F15" s="43"/>
      <c r="G15" s="44"/>
    </row>
    <row r="16" spans="1:7" x14ac:dyDescent="0.25">
      <c r="A16" s="42"/>
      <c r="B16" s="46" t="s">
        <v>102</v>
      </c>
      <c r="C16" s="41" t="s">
        <v>9</v>
      </c>
      <c r="D16" s="46">
        <v>5400</v>
      </c>
      <c r="E16" s="46"/>
      <c r="F16" s="46"/>
      <c r="G16" s="48"/>
    </row>
    <row r="17" spans="1:7" x14ac:dyDescent="0.25">
      <c r="A17" s="42"/>
      <c r="B17" s="46" t="s">
        <v>103</v>
      </c>
      <c r="C17" s="41" t="s">
        <v>9</v>
      </c>
      <c r="D17" s="46">
        <v>5400</v>
      </c>
      <c r="E17" s="46"/>
      <c r="F17" s="46"/>
      <c r="G17" s="44"/>
    </row>
    <row r="18" spans="1:7" x14ac:dyDescent="0.25">
      <c r="A18" s="45"/>
      <c r="B18" s="46" t="s">
        <v>104</v>
      </c>
      <c r="C18" s="41" t="s">
        <v>9</v>
      </c>
      <c r="D18" s="46">
        <v>4000</v>
      </c>
      <c r="E18" s="46"/>
      <c r="F18" s="46">
        <v>4500</v>
      </c>
      <c r="G18" s="48"/>
    </row>
    <row r="19" spans="1:7" x14ac:dyDescent="0.25">
      <c r="A19" s="45"/>
      <c r="B19" s="46" t="s">
        <v>105</v>
      </c>
      <c r="C19" s="41" t="s">
        <v>9</v>
      </c>
      <c r="D19" s="46">
        <v>4000</v>
      </c>
      <c r="E19" s="46"/>
      <c r="F19" s="46">
        <v>4500</v>
      </c>
      <c r="G19" s="48"/>
    </row>
    <row r="20" spans="1:7" x14ac:dyDescent="0.25">
      <c r="A20" s="42"/>
      <c r="B20" s="43" t="s">
        <v>106</v>
      </c>
      <c r="C20" s="41" t="s">
        <v>9</v>
      </c>
      <c r="D20" s="43">
        <v>700</v>
      </c>
      <c r="E20" s="43"/>
      <c r="F20" s="43">
        <v>1000</v>
      </c>
      <c r="G20" s="48"/>
    </row>
    <row r="21" spans="1:7" x14ac:dyDescent="0.25">
      <c r="A21" s="42"/>
      <c r="B21" s="43" t="s">
        <v>107</v>
      </c>
      <c r="C21" s="41" t="s">
        <v>9</v>
      </c>
      <c r="D21" s="43">
        <v>700</v>
      </c>
      <c r="E21" s="43"/>
      <c r="F21" s="43">
        <v>1000</v>
      </c>
      <c r="G21" s="48"/>
    </row>
    <row r="22" spans="1:7" x14ac:dyDescent="0.25">
      <c r="A22" s="45"/>
      <c r="B22" s="43" t="s">
        <v>108</v>
      </c>
      <c r="C22" s="41" t="s">
        <v>9</v>
      </c>
      <c r="D22" s="43">
        <v>7000</v>
      </c>
      <c r="E22" s="43"/>
      <c r="F22" s="43"/>
      <c r="G22" s="44"/>
    </row>
    <row r="23" spans="1:7" x14ac:dyDescent="0.25">
      <c r="A23" s="42"/>
      <c r="B23" s="43" t="s">
        <v>109</v>
      </c>
      <c r="C23" s="41" t="s">
        <v>9</v>
      </c>
      <c r="D23" s="43">
        <v>6000</v>
      </c>
      <c r="E23" s="43"/>
      <c r="F23" s="43"/>
      <c r="G23" s="44"/>
    </row>
    <row r="24" spans="1:7" x14ac:dyDescent="0.25">
      <c r="A24" s="45"/>
      <c r="B24" s="46" t="s">
        <v>57</v>
      </c>
      <c r="C24" s="41" t="s">
        <v>10</v>
      </c>
      <c r="D24" s="46">
        <v>5100</v>
      </c>
      <c r="E24" s="46">
        <v>5</v>
      </c>
      <c r="F24" s="43"/>
      <c r="G24" s="44"/>
    </row>
    <row r="25" spans="1:7" x14ac:dyDescent="0.25">
      <c r="A25" s="45"/>
      <c r="B25" s="43" t="s">
        <v>110</v>
      </c>
      <c r="C25" s="41" t="s">
        <v>8</v>
      </c>
      <c r="D25" s="46">
        <v>3000</v>
      </c>
      <c r="E25" s="46"/>
      <c r="F25" s="46">
        <v>5000</v>
      </c>
      <c r="G25" s="48"/>
    </row>
    <row r="26" spans="1:7" x14ac:dyDescent="0.25">
      <c r="A26" s="42"/>
      <c r="B26" s="46" t="s">
        <v>111</v>
      </c>
      <c r="C26" s="41" t="s">
        <v>8</v>
      </c>
      <c r="D26" s="46">
        <v>2600</v>
      </c>
      <c r="E26" s="46"/>
      <c r="F26" s="46"/>
      <c r="G26" s="48"/>
    </row>
    <row r="27" spans="1:7" x14ac:dyDescent="0.25">
      <c r="A27" s="42"/>
      <c r="B27" s="46" t="s">
        <v>112</v>
      </c>
      <c r="C27" s="41" t="s">
        <v>8</v>
      </c>
      <c r="D27" s="46">
        <v>2600</v>
      </c>
      <c r="E27" s="46"/>
      <c r="F27" s="46"/>
      <c r="G27" s="44"/>
    </row>
    <row r="28" spans="1:7" x14ac:dyDescent="0.25">
      <c r="A28" s="45"/>
      <c r="B28" s="46" t="s">
        <v>181</v>
      </c>
      <c r="C28" s="41" t="s">
        <v>8</v>
      </c>
      <c r="D28" s="46">
        <v>2000</v>
      </c>
      <c r="E28" s="46"/>
      <c r="F28" s="46"/>
      <c r="G28" s="44"/>
    </row>
    <row r="29" spans="1:7" x14ac:dyDescent="0.25">
      <c r="A29" s="42"/>
      <c r="B29" s="46" t="s">
        <v>113</v>
      </c>
      <c r="C29" s="41" t="s">
        <v>7</v>
      </c>
      <c r="D29" s="46">
        <v>5000</v>
      </c>
      <c r="E29" s="46">
        <v>27</v>
      </c>
      <c r="F29" s="43"/>
      <c r="G29" s="44"/>
    </row>
    <row r="30" spans="1:7" x14ac:dyDescent="0.25">
      <c r="A30" s="45"/>
      <c r="B30" s="43"/>
      <c r="C30" s="41" t="s">
        <v>8</v>
      </c>
      <c r="D30" s="43">
        <v>4400</v>
      </c>
      <c r="E30" s="43"/>
      <c r="F30" s="43"/>
      <c r="G30" s="48"/>
    </row>
    <row r="31" spans="1:7" x14ac:dyDescent="0.25">
      <c r="A31" s="42"/>
      <c r="B31" s="43" t="s">
        <v>182</v>
      </c>
      <c r="C31" s="41" t="s">
        <v>8</v>
      </c>
      <c r="D31" s="43">
        <v>4500</v>
      </c>
      <c r="E31" s="43"/>
      <c r="F31" s="46"/>
      <c r="G31" s="48"/>
    </row>
    <row r="32" spans="1:7" x14ac:dyDescent="0.25">
      <c r="A32" s="45"/>
      <c r="B32" s="46" t="s">
        <v>183</v>
      </c>
      <c r="C32" s="41" t="s">
        <v>8</v>
      </c>
      <c r="D32" s="46">
        <v>4500</v>
      </c>
      <c r="E32" s="46"/>
      <c r="F32" s="43"/>
      <c r="G32" s="44"/>
    </row>
    <row r="33" spans="1:7" x14ac:dyDescent="0.25">
      <c r="A33" s="42"/>
      <c r="B33" s="46"/>
      <c r="C33" s="41"/>
      <c r="D33" s="46"/>
      <c r="E33" s="46"/>
      <c r="F33" s="46"/>
      <c r="G33" s="48"/>
    </row>
    <row r="34" spans="1:7" x14ac:dyDescent="0.25">
      <c r="A34" s="45"/>
      <c r="B34" s="43"/>
      <c r="C34" s="41"/>
      <c r="D34" s="43"/>
      <c r="E34" s="43"/>
      <c r="F34" s="43"/>
      <c r="G34" s="44"/>
    </row>
    <row r="35" spans="1:7" x14ac:dyDescent="0.25">
      <c r="A35" s="42"/>
      <c r="B35" s="46"/>
      <c r="C35" s="41"/>
      <c r="D35" s="46"/>
      <c r="E35" s="46"/>
      <c r="F35" s="46"/>
      <c r="G35" s="48"/>
    </row>
    <row r="36" spans="1:7" x14ac:dyDescent="0.25">
      <c r="A36" s="45"/>
      <c r="B36" s="43"/>
      <c r="C36" s="41"/>
      <c r="D36" s="43"/>
      <c r="E36" s="43"/>
      <c r="F36" s="43"/>
      <c r="G36" s="44"/>
    </row>
    <row r="37" spans="1:7" x14ac:dyDescent="0.25">
      <c r="A37" s="45"/>
      <c r="B37" s="43"/>
      <c r="C37" s="41"/>
      <c r="D37" s="43"/>
      <c r="E37" s="43"/>
      <c r="F37" s="43"/>
      <c r="G37" s="44"/>
    </row>
    <row r="38" spans="1:7" x14ac:dyDescent="0.25">
      <c r="A38" s="45"/>
      <c r="B38" s="43"/>
      <c r="C38" s="41"/>
      <c r="D38" s="43"/>
      <c r="E38" s="43"/>
      <c r="F38" s="43"/>
      <c r="G38" s="44"/>
    </row>
    <row r="39" spans="1:7" x14ac:dyDescent="0.25">
      <c r="A39" s="45"/>
      <c r="B39" s="43"/>
      <c r="C39" s="41"/>
      <c r="D39" s="43"/>
      <c r="E39" s="43"/>
      <c r="F39" s="43"/>
      <c r="G39" s="44"/>
    </row>
    <row r="40" spans="1:7" x14ac:dyDescent="0.25">
      <c r="A40" s="42"/>
      <c r="B40" s="46"/>
      <c r="C40" s="41"/>
      <c r="D40" s="46"/>
      <c r="E40" s="46"/>
      <c r="F40" s="46"/>
      <c r="G40" s="44"/>
    </row>
    <row r="41" spans="1:7" x14ac:dyDescent="0.25">
      <c r="A41" s="42"/>
      <c r="B41" s="46"/>
      <c r="C41" s="41"/>
      <c r="D41" s="46"/>
      <c r="E41" s="46"/>
      <c r="F41" s="46"/>
      <c r="G41" s="44"/>
    </row>
    <row r="42" spans="1:7" x14ac:dyDescent="0.25">
      <c r="A42" s="45"/>
      <c r="B42" s="43"/>
      <c r="C42" s="41"/>
      <c r="D42" s="43"/>
      <c r="E42" s="43"/>
      <c r="F42" s="43"/>
      <c r="G42" s="48"/>
    </row>
    <row r="43" spans="1:7" x14ac:dyDescent="0.25">
      <c r="A43" s="42"/>
      <c r="B43" s="46"/>
      <c r="C43" s="41"/>
      <c r="D43" s="46"/>
      <c r="E43" s="46"/>
      <c r="F43" s="46"/>
      <c r="G43" s="44"/>
    </row>
    <row r="44" spans="1:7" x14ac:dyDescent="0.25">
      <c r="A44" s="45"/>
      <c r="B44" s="43"/>
      <c r="C44" s="41"/>
      <c r="D44" s="43"/>
      <c r="E44" s="43"/>
      <c r="F44" s="43"/>
      <c r="G44" s="48"/>
    </row>
    <row r="46" spans="1:7" x14ac:dyDescent="0.25">
      <c r="A46" s="65" t="s">
        <v>41</v>
      </c>
      <c r="B46" s="66"/>
      <c r="C46" s="66"/>
      <c r="D46" s="66"/>
      <c r="E46" s="66"/>
      <c r="F46" s="66"/>
      <c r="G46" s="67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4" zoomScale="90" zoomScaleNormal="90" workbookViewId="0">
      <selection activeCell="C38" sqref="C38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140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177</v>
      </c>
      <c r="B5" s="27">
        <v>6600</v>
      </c>
      <c r="C5" s="27">
        <v>200</v>
      </c>
      <c r="D5" s="27">
        <f>B5/C5</f>
        <v>33</v>
      </c>
      <c r="E5" s="28">
        <v>1</v>
      </c>
      <c r="G5" s="72" t="s">
        <v>122</v>
      </c>
    </row>
    <row r="6" spans="1:7" x14ac:dyDescent="0.25">
      <c r="A6" s="53" t="s">
        <v>175</v>
      </c>
      <c r="B6" s="54">
        <v>5940</v>
      </c>
      <c r="C6" s="54">
        <v>180</v>
      </c>
      <c r="D6" s="54">
        <v>33</v>
      </c>
      <c r="E6" s="55">
        <v>1</v>
      </c>
    </row>
    <row r="7" spans="1:7" x14ac:dyDescent="0.25">
      <c r="A7" s="59" t="s">
        <v>176</v>
      </c>
      <c r="B7" s="60">
        <v>5412</v>
      </c>
      <c r="C7" s="60">
        <v>164</v>
      </c>
      <c r="D7" s="60">
        <v>33</v>
      </c>
      <c r="E7" s="61">
        <v>1</v>
      </c>
    </row>
    <row r="8" spans="1:7" x14ac:dyDescent="0.25">
      <c r="A8" s="9"/>
      <c r="B8" s="10"/>
      <c r="C8" s="10"/>
      <c r="D8" s="10"/>
      <c r="E8" s="11"/>
    </row>
    <row r="9" spans="1:7" x14ac:dyDescent="0.25">
      <c r="A9" s="29" t="s">
        <v>27</v>
      </c>
      <c r="B9" s="30" t="s">
        <v>20</v>
      </c>
      <c r="C9" s="30" t="s">
        <v>28</v>
      </c>
      <c r="D9" s="30" t="s">
        <v>29</v>
      </c>
      <c r="E9" s="30" t="s">
        <v>30</v>
      </c>
      <c r="F9" s="30" t="s">
        <v>31</v>
      </c>
      <c r="G9" s="31" t="s">
        <v>32</v>
      </c>
    </row>
    <row r="10" spans="1:7" x14ac:dyDescent="0.25">
      <c r="A10" s="42" t="s">
        <v>33</v>
      </c>
      <c r="B10" s="43" t="s">
        <v>177</v>
      </c>
      <c r="C10" s="41" t="s">
        <v>3</v>
      </c>
      <c r="D10" s="43">
        <v>6468</v>
      </c>
      <c r="E10" s="43">
        <v>95</v>
      </c>
      <c r="F10" s="43">
        <v>6270</v>
      </c>
      <c r="G10" s="44">
        <v>95</v>
      </c>
    </row>
    <row r="11" spans="1:7" x14ac:dyDescent="0.25">
      <c r="A11" s="45"/>
      <c r="B11" s="46"/>
      <c r="C11" s="47" t="s">
        <v>9</v>
      </c>
      <c r="D11" s="46">
        <v>7062</v>
      </c>
      <c r="E11" s="46"/>
      <c r="F11" s="46"/>
      <c r="G11" s="48"/>
    </row>
    <row r="12" spans="1:7" x14ac:dyDescent="0.25">
      <c r="A12" s="42"/>
      <c r="B12" s="43" t="s">
        <v>175</v>
      </c>
      <c r="C12" s="41" t="s">
        <v>3</v>
      </c>
      <c r="D12" s="43">
        <v>5821</v>
      </c>
      <c r="E12" s="43">
        <v>95</v>
      </c>
      <c r="F12" s="43">
        <v>5643</v>
      </c>
      <c r="G12" s="44">
        <v>95</v>
      </c>
    </row>
    <row r="13" spans="1:7" x14ac:dyDescent="0.25">
      <c r="A13" s="45"/>
      <c r="B13" s="46"/>
      <c r="C13" s="47" t="s">
        <v>9</v>
      </c>
      <c r="D13" s="46">
        <v>6356</v>
      </c>
      <c r="E13" s="46"/>
      <c r="F13" s="46"/>
      <c r="G13" s="48"/>
    </row>
    <row r="14" spans="1:7" x14ac:dyDescent="0.25">
      <c r="A14" s="42"/>
      <c r="B14" s="43" t="s">
        <v>176</v>
      </c>
      <c r="C14" s="41" t="s">
        <v>3</v>
      </c>
      <c r="D14" s="43">
        <v>5304</v>
      </c>
      <c r="E14" s="43">
        <v>95</v>
      </c>
      <c r="F14" s="43">
        <v>5141</v>
      </c>
      <c r="G14" s="44">
        <v>95</v>
      </c>
    </row>
    <row r="15" spans="1:7" x14ac:dyDescent="0.25">
      <c r="A15" s="45"/>
      <c r="B15" s="46"/>
      <c r="C15" s="47" t="s">
        <v>9</v>
      </c>
      <c r="D15" s="46">
        <v>5791</v>
      </c>
      <c r="E15" s="46"/>
      <c r="F15" s="46"/>
      <c r="G15" s="48"/>
    </row>
    <row r="16" spans="1:7" x14ac:dyDescent="0.25">
      <c r="A16" s="45" t="s">
        <v>37</v>
      </c>
      <c r="B16" s="43" t="s">
        <v>100</v>
      </c>
      <c r="C16" s="41" t="s">
        <v>9</v>
      </c>
      <c r="D16" s="43">
        <v>5000</v>
      </c>
      <c r="E16" s="43"/>
      <c r="F16" s="43">
        <v>5400</v>
      </c>
      <c r="G16" s="44"/>
    </row>
    <row r="17" spans="1:7" x14ac:dyDescent="0.25">
      <c r="A17" s="45"/>
      <c r="B17" s="43" t="s">
        <v>54</v>
      </c>
      <c r="C17" s="41" t="s">
        <v>9</v>
      </c>
      <c r="D17" s="43">
        <v>4500</v>
      </c>
      <c r="E17" s="43"/>
      <c r="F17" s="43"/>
      <c r="G17" s="48"/>
    </row>
    <row r="18" spans="1:7" x14ac:dyDescent="0.25">
      <c r="A18" s="45"/>
      <c r="B18" s="43" t="s">
        <v>101</v>
      </c>
      <c r="C18" s="41" t="s">
        <v>9</v>
      </c>
      <c r="D18" s="43">
        <v>5400</v>
      </c>
      <c r="E18" s="43"/>
      <c r="F18" s="43"/>
      <c r="G18" s="44"/>
    </row>
    <row r="19" spans="1:7" x14ac:dyDescent="0.25">
      <c r="A19" s="42"/>
      <c r="B19" s="46" t="s">
        <v>102</v>
      </c>
      <c r="C19" s="41" t="s">
        <v>9</v>
      </c>
      <c r="D19" s="46">
        <v>5400</v>
      </c>
      <c r="E19" s="46"/>
      <c r="F19" s="46"/>
      <c r="G19" s="48"/>
    </row>
    <row r="20" spans="1:7" x14ac:dyDescent="0.25">
      <c r="A20" s="42"/>
      <c r="B20" s="46" t="s">
        <v>103</v>
      </c>
      <c r="C20" s="41" t="s">
        <v>9</v>
      </c>
      <c r="D20" s="46">
        <v>5400</v>
      </c>
      <c r="E20" s="46"/>
      <c r="F20" s="46"/>
      <c r="G20" s="44"/>
    </row>
    <row r="21" spans="1:7" x14ac:dyDescent="0.25">
      <c r="A21" s="45"/>
      <c r="B21" s="46" t="s">
        <v>104</v>
      </c>
      <c r="C21" s="41" t="s">
        <v>9</v>
      </c>
      <c r="D21" s="46">
        <v>4000</v>
      </c>
      <c r="E21" s="46"/>
      <c r="F21" s="46">
        <v>4500</v>
      </c>
      <c r="G21" s="48"/>
    </row>
    <row r="22" spans="1:7" x14ac:dyDescent="0.25">
      <c r="A22" s="45"/>
      <c r="B22" s="46" t="s">
        <v>105</v>
      </c>
      <c r="C22" s="41" t="s">
        <v>9</v>
      </c>
      <c r="D22" s="46">
        <v>4000</v>
      </c>
      <c r="E22" s="46"/>
      <c r="F22" s="46">
        <v>4500</v>
      </c>
      <c r="G22" s="48"/>
    </row>
    <row r="23" spans="1:7" x14ac:dyDescent="0.25">
      <c r="A23" s="42"/>
      <c r="B23" s="43" t="s">
        <v>106</v>
      </c>
      <c r="C23" s="41" t="s">
        <v>9</v>
      </c>
      <c r="D23" s="43">
        <v>700</v>
      </c>
      <c r="E23" s="43"/>
      <c r="F23" s="43">
        <v>1000</v>
      </c>
      <c r="G23" s="48"/>
    </row>
    <row r="24" spans="1:7" x14ac:dyDescent="0.25">
      <c r="A24" s="42"/>
      <c r="B24" s="43" t="s">
        <v>107</v>
      </c>
      <c r="C24" s="41" t="s">
        <v>9</v>
      </c>
      <c r="D24" s="43">
        <v>700</v>
      </c>
      <c r="E24" s="43"/>
      <c r="F24" s="43">
        <v>1000</v>
      </c>
      <c r="G24" s="48"/>
    </row>
    <row r="25" spans="1:7" x14ac:dyDescent="0.25">
      <c r="A25" s="45"/>
      <c r="B25" s="43" t="s">
        <v>108</v>
      </c>
      <c r="C25" s="41" t="s">
        <v>9</v>
      </c>
      <c r="D25" s="43">
        <v>7000</v>
      </c>
      <c r="E25" s="43"/>
      <c r="F25" s="43"/>
      <c r="G25" s="44"/>
    </row>
    <row r="26" spans="1:7" x14ac:dyDescent="0.25">
      <c r="A26" s="42"/>
      <c r="B26" s="43" t="s">
        <v>109</v>
      </c>
      <c r="C26" s="41" t="s">
        <v>9</v>
      </c>
      <c r="D26" s="43">
        <v>6000</v>
      </c>
      <c r="E26" s="43"/>
      <c r="F26" s="43"/>
      <c r="G26" s="44"/>
    </row>
    <row r="27" spans="1:7" x14ac:dyDescent="0.25">
      <c r="A27" s="45"/>
      <c r="B27" s="46" t="s">
        <v>57</v>
      </c>
      <c r="C27" s="41" t="s">
        <v>10</v>
      </c>
      <c r="D27" s="46">
        <v>5100</v>
      </c>
      <c r="E27" s="46">
        <v>5</v>
      </c>
      <c r="F27" s="43"/>
      <c r="G27" s="44"/>
    </row>
    <row r="28" spans="1:7" x14ac:dyDescent="0.25">
      <c r="A28" s="45"/>
      <c r="B28" s="43" t="s">
        <v>110</v>
      </c>
      <c r="C28" s="41" t="s">
        <v>8</v>
      </c>
      <c r="D28" s="46">
        <v>3000</v>
      </c>
      <c r="E28" s="46"/>
      <c r="F28" s="46">
        <v>5000</v>
      </c>
      <c r="G28" s="48"/>
    </row>
    <row r="29" spans="1:7" x14ac:dyDescent="0.25">
      <c r="A29" s="42"/>
      <c r="B29" s="46" t="s">
        <v>111</v>
      </c>
      <c r="C29" s="41" t="s">
        <v>8</v>
      </c>
      <c r="D29" s="46">
        <v>2600</v>
      </c>
      <c r="E29" s="46"/>
      <c r="F29" s="46"/>
      <c r="G29" s="48"/>
    </row>
    <row r="30" spans="1:7" x14ac:dyDescent="0.25">
      <c r="A30" s="42"/>
      <c r="B30" s="46" t="s">
        <v>112</v>
      </c>
      <c r="C30" s="41" t="s">
        <v>8</v>
      </c>
      <c r="D30" s="46">
        <v>2600</v>
      </c>
      <c r="E30" s="46"/>
      <c r="F30" s="46"/>
      <c r="G30" s="44"/>
    </row>
    <row r="31" spans="1:7" x14ac:dyDescent="0.25">
      <c r="A31" s="45"/>
      <c r="B31" s="46" t="s">
        <v>181</v>
      </c>
      <c r="C31" s="41" t="s">
        <v>8</v>
      </c>
      <c r="D31" s="46">
        <v>2000</v>
      </c>
      <c r="E31" s="46"/>
      <c r="F31" s="46"/>
      <c r="G31" s="44"/>
    </row>
    <row r="32" spans="1:7" x14ac:dyDescent="0.25">
      <c r="A32" s="42"/>
      <c r="B32" s="46" t="s">
        <v>113</v>
      </c>
      <c r="C32" s="41" t="s">
        <v>7</v>
      </c>
      <c r="D32" s="46">
        <v>5000</v>
      </c>
      <c r="E32" s="46">
        <v>27</v>
      </c>
      <c r="F32" s="43"/>
      <c r="G32" s="44"/>
    </row>
    <row r="33" spans="1:7" x14ac:dyDescent="0.25">
      <c r="A33" s="45"/>
      <c r="B33" s="43"/>
      <c r="C33" s="41" t="s">
        <v>8</v>
      </c>
      <c r="D33" s="43">
        <v>4400</v>
      </c>
      <c r="E33" s="43"/>
      <c r="F33" s="43"/>
      <c r="G33" s="48"/>
    </row>
    <row r="34" spans="1:7" x14ac:dyDescent="0.25">
      <c r="A34" s="42"/>
      <c r="B34" s="43" t="s">
        <v>182</v>
      </c>
      <c r="C34" s="41" t="s">
        <v>8</v>
      </c>
      <c r="D34" s="43">
        <v>4500</v>
      </c>
      <c r="E34" s="43"/>
      <c r="F34" s="46"/>
      <c r="G34" s="48"/>
    </row>
    <row r="35" spans="1:7" x14ac:dyDescent="0.25">
      <c r="A35" s="45"/>
      <c r="B35" s="46" t="s">
        <v>183</v>
      </c>
      <c r="C35" s="41" t="s">
        <v>8</v>
      </c>
      <c r="D35" s="46">
        <v>4500</v>
      </c>
      <c r="E35" s="46"/>
      <c r="F35" s="43"/>
      <c r="G35" s="44"/>
    </row>
    <row r="36" spans="1:7" x14ac:dyDescent="0.25">
      <c r="A36" s="42"/>
      <c r="B36" s="46"/>
      <c r="C36" s="41"/>
      <c r="D36" s="46"/>
      <c r="E36" s="46"/>
      <c r="F36" s="46"/>
      <c r="G36" s="48"/>
    </row>
    <row r="37" spans="1:7" x14ac:dyDescent="0.25">
      <c r="A37" s="42"/>
      <c r="B37" s="46"/>
      <c r="C37" s="41"/>
      <c r="D37" s="46"/>
      <c r="E37" s="46"/>
      <c r="F37" s="46"/>
      <c r="G37" s="48"/>
    </row>
    <row r="38" spans="1:7" x14ac:dyDescent="0.25">
      <c r="A38" s="45"/>
      <c r="B38" s="46"/>
      <c r="C38" s="41"/>
      <c r="D38" s="43"/>
      <c r="E38" s="43"/>
      <c r="F38" s="43"/>
      <c r="G38" s="44"/>
    </row>
    <row r="39" spans="1:7" x14ac:dyDescent="0.25">
      <c r="A39" s="42"/>
      <c r="B39" s="46"/>
      <c r="C39" s="41"/>
      <c r="D39" s="46"/>
      <c r="E39" s="46"/>
      <c r="F39" s="46"/>
      <c r="G39" s="44"/>
    </row>
    <row r="40" spans="1:7" x14ac:dyDescent="0.25">
      <c r="A40" s="45"/>
      <c r="B40" s="46"/>
      <c r="C40" s="41"/>
      <c r="D40" s="43"/>
      <c r="E40" s="43"/>
      <c r="F40" s="43"/>
      <c r="G40" s="44"/>
    </row>
    <row r="41" spans="1:7" x14ac:dyDescent="0.25">
      <c r="A41" s="42"/>
      <c r="B41" s="46"/>
      <c r="C41" s="41"/>
      <c r="D41" s="46"/>
      <c r="E41" s="46"/>
      <c r="F41" s="46"/>
      <c r="G41" s="44"/>
    </row>
    <row r="42" spans="1:7" x14ac:dyDescent="0.25">
      <c r="A42" s="45"/>
      <c r="B42" s="43"/>
      <c r="C42" s="41"/>
      <c r="D42" s="43"/>
      <c r="E42" s="43"/>
      <c r="F42" s="43"/>
      <c r="G42" s="48"/>
    </row>
    <row r="43" spans="1:7" x14ac:dyDescent="0.25">
      <c r="A43" s="42"/>
      <c r="B43" s="46"/>
      <c r="C43" s="41"/>
      <c r="D43" s="46"/>
      <c r="E43" s="46"/>
      <c r="F43" s="46"/>
      <c r="G43" s="44"/>
    </row>
    <row r="44" spans="1:7" x14ac:dyDescent="0.25">
      <c r="A44" s="45"/>
      <c r="B44" s="43"/>
      <c r="C44" s="41"/>
      <c r="D44" s="43"/>
      <c r="E44" s="43"/>
      <c r="F44" s="43"/>
      <c r="G44" s="48"/>
    </row>
    <row r="46" spans="1:7" x14ac:dyDescent="0.25">
      <c r="A46" s="65" t="s">
        <v>41</v>
      </c>
      <c r="B46" s="66"/>
      <c r="C46" s="66"/>
      <c r="D46" s="66"/>
      <c r="E46" s="66"/>
      <c r="F46" s="66"/>
      <c r="G46" s="67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90" zoomScaleNormal="90" workbookViewId="0">
      <selection activeCell="D20" sqref="D2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186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7" x14ac:dyDescent="0.25">
      <c r="A5" s="26" t="s">
        <v>91</v>
      </c>
      <c r="B5" s="27">
        <v>6000</v>
      </c>
      <c r="C5" s="27">
        <v>200</v>
      </c>
      <c r="D5" s="27">
        <f>B5/C5</f>
        <v>30</v>
      </c>
      <c r="E5" s="28">
        <v>1</v>
      </c>
      <c r="G5" s="72" t="s">
        <v>188</v>
      </c>
    </row>
    <row r="6" spans="1:7" x14ac:dyDescent="0.25">
      <c r="A6" s="9"/>
      <c r="B6" s="10"/>
      <c r="C6" s="10"/>
      <c r="D6" s="10"/>
      <c r="E6" s="11"/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42" t="s">
        <v>33</v>
      </c>
      <c r="B8" s="43" t="s">
        <v>91</v>
      </c>
      <c r="C8" s="41" t="s">
        <v>3</v>
      </c>
      <c r="D8" s="43">
        <v>5880</v>
      </c>
      <c r="E8" s="43">
        <v>95</v>
      </c>
      <c r="F8" s="43">
        <v>5700</v>
      </c>
      <c r="G8" s="44">
        <v>95</v>
      </c>
    </row>
    <row r="9" spans="1:7" x14ac:dyDescent="0.25">
      <c r="A9" s="45"/>
      <c r="B9" s="46"/>
      <c r="C9" s="47" t="s">
        <v>9</v>
      </c>
      <c r="D9" s="46">
        <v>6420</v>
      </c>
      <c r="E9" s="46"/>
      <c r="F9" s="46"/>
      <c r="G9" s="48"/>
    </row>
    <row r="10" spans="1:7" x14ac:dyDescent="0.25">
      <c r="A10" s="45" t="s">
        <v>37</v>
      </c>
      <c r="B10" s="43" t="s">
        <v>100</v>
      </c>
      <c r="C10" s="41" t="s">
        <v>9</v>
      </c>
      <c r="D10" s="43">
        <v>5000</v>
      </c>
      <c r="E10" s="43"/>
      <c r="F10" s="43">
        <v>5400</v>
      </c>
      <c r="G10" s="44"/>
    </row>
    <row r="11" spans="1:7" x14ac:dyDescent="0.25">
      <c r="A11" s="45"/>
      <c r="B11" s="43" t="s">
        <v>54</v>
      </c>
      <c r="C11" s="41" t="s">
        <v>9</v>
      </c>
      <c r="D11" s="43">
        <v>4500</v>
      </c>
      <c r="E11" s="43"/>
      <c r="F11" s="43"/>
      <c r="G11" s="48"/>
    </row>
    <row r="12" spans="1:7" x14ac:dyDescent="0.25">
      <c r="A12" s="45"/>
      <c r="B12" s="43" t="s">
        <v>101</v>
      </c>
      <c r="C12" s="41" t="s">
        <v>9</v>
      </c>
      <c r="D12" s="43">
        <v>5400</v>
      </c>
      <c r="E12" s="43"/>
      <c r="F12" s="43"/>
      <c r="G12" s="44"/>
    </row>
    <row r="13" spans="1:7" x14ac:dyDescent="0.25">
      <c r="A13" s="42"/>
      <c r="B13" s="46" t="s">
        <v>102</v>
      </c>
      <c r="C13" s="41" t="s">
        <v>9</v>
      </c>
      <c r="D13" s="46">
        <v>5400</v>
      </c>
      <c r="E13" s="46"/>
      <c r="F13" s="46"/>
      <c r="G13" s="48"/>
    </row>
    <row r="14" spans="1:7" x14ac:dyDescent="0.25">
      <c r="A14" s="42"/>
      <c r="B14" s="46" t="s">
        <v>103</v>
      </c>
      <c r="C14" s="41" t="s">
        <v>9</v>
      </c>
      <c r="D14" s="46">
        <v>5400</v>
      </c>
      <c r="E14" s="46"/>
      <c r="F14" s="46"/>
      <c r="G14" s="44"/>
    </row>
    <row r="15" spans="1:7" x14ac:dyDescent="0.25">
      <c r="A15" s="45"/>
      <c r="B15" s="46" t="s">
        <v>104</v>
      </c>
      <c r="C15" s="41" t="s">
        <v>9</v>
      </c>
      <c r="D15" s="46">
        <v>4000</v>
      </c>
      <c r="E15" s="46"/>
      <c r="F15" s="46">
        <v>4500</v>
      </c>
      <c r="G15" s="48"/>
    </row>
    <row r="16" spans="1:7" x14ac:dyDescent="0.25">
      <c r="A16" s="45"/>
      <c r="B16" s="46" t="s">
        <v>105</v>
      </c>
      <c r="C16" s="41" t="s">
        <v>9</v>
      </c>
      <c r="D16" s="46">
        <v>4000</v>
      </c>
      <c r="E16" s="46"/>
      <c r="F16" s="46">
        <v>4500</v>
      </c>
      <c r="G16" s="48"/>
    </row>
    <row r="17" spans="1:7" x14ac:dyDescent="0.25">
      <c r="A17" s="42"/>
      <c r="B17" s="43" t="s">
        <v>106</v>
      </c>
      <c r="C17" s="41" t="s">
        <v>9</v>
      </c>
      <c r="D17" s="43">
        <v>700</v>
      </c>
      <c r="E17" s="43"/>
      <c r="F17" s="43">
        <v>1000</v>
      </c>
      <c r="G17" s="48"/>
    </row>
    <row r="18" spans="1:7" x14ac:dyDescent="0.25">
      <c r="A18" s="42"/>
      <c r="B18" s="43" t="s">
        <v>107</v>
      </c>
      <c r="C18" s="41" t="s">
        <v>9</v>
      </c>
      <c r="D18" s="43">
        <v>700</v>
      </c>
      <c r="E18" s="43"/>
      <c r="F18" s="43">
        <v>1000</v>
      </c>
      <c r="G18" s="48"/>
    </row>
    <row r="19" spans="1:7" x14ac:dyDescent="0.25">
      <c r="A19" s="45"/>
      <c r="B19" s="43" t="s">
        <v>187</v>
      </c>
      <c r="C19" s="41" t="s">
        <v>9</v>
      </c>
      <c r="D19" s="43">
        <v>6420</v>
      </c>
      <c r="E19" s="43"/>
      <c r="F19" s="43"/>
      <c r="G19" s="44"/>
    </row>
    <row r="20" spans="1:7" x14ac:dyDescent="0.25">
      <c r="A20" s="42"/>
      <c r="B20" s="43" t="s">
        <v>182</v>
      </c>
      <c r="C20" s="41" t="s">
        <v>8</v>
      </c>
      <c r="D20" s="43">
        <v>4500</v>
      </c>
      <c r="E20" s="43"/>
      <c r="F20" s="43"/>
      <c r="G20" s="44"/>
    </row>
    <row r="21" spans="1:7" x14ac:dyDescent="0.25">
      <c r="A21" s="45"/>
      <c r="B21" s="46" t="s">
        <v>183</v>
      </c>
      <c r="C21" s="41" t="s">
        <v>8</v>
      </c>
      <c r="D21" s="46">
        <v>4500</v>
      </c>
      <c r="E21" s="46"/>
      <c r="F21" s="43"/>
      <c r="G21" s="44"/>
    </row>
    <row r="22" spans="1:7" x14ac:dyDescent="0.25">
      <c r="A22" s="45"/>
      <c r="B22" s="46"/>
      <c r="C22" s="41"/>
      <c r="D22" s="46"/>
      <c r="E22" s="46"/>
      <c r="F22" s="46"/>
      <c r="G22" s="48"/>
    </row>
    <row r="23" spans="1:7" x14ac:dyDescent="0.25">
      <c r="A23" s="42"/>
      <c r="B23" s="46"/>
      <c r="C23" s="41"/>
      <c r="D23" s="46"/>
      <c r="E23" s="46"/>
      <c r="F23" s="46"/>
      <c r="G23" s="48"/>
    </row>
    <row r="24" spans="1:7" x14ac:dyDescent="0.25">
      <c r="A24" s="42"/>
      <c r="B24" s="46"/>
      <c r="C24" s="41"/>
      <c r="D24" s="46"/>
      <c r="E24" s="46"/>
      <c r="F24" s="46"/>
      <c r="G24" s="44"/>
    </row>
    <row r="25" spans="1:7" x14ac:dyDescent="0.25">
      <c r="A25" s="45"/>
      <c r="B25" s="46"/>
      <c r="C25" s="41"/>
      <c r="D25" s="46"/>
      <c r="E25" s="46"/>
      <c r="F25" s="46"/>
      <c r="G25" s="44"/>
    </row>
    <row r="26" spans="1:7" x14ac:dyDescent="0.25">
      <c r="A26" s="42"/>
      <c r="B26" s="46"/>
      <c r="C26" s="41"/>
      <c r="D26" s="46"/>
      <c r="E26" s="46"/>
      <c r="F26" s="43"/>
      <c r="G26" s="44"/>
    </row>
    <row r="27" spans="1:7" x14ac:dyDescent="0.25">
      <c r="A27" s="45"/>
      <c r="B27" s="43"/>
      <c r="C27" s="41"/>
      <c r="D27" s="43"/>
      <c r="E27" s="43"/>
      <c r="F27" s="43"/>
      <c r="G27" s="48"/>
    </row>
    <row r="28" spans="1:7" x14ac:dyDescent="0.25">
      <c r="A28" s="42"/>
      <c r="B28" s="46"/>
      <c r="C28" s="41"/>
      <c r="D28" s="46"/>
      <c r="E28" s="46"/>
      <c r="F28" s="46"/>
      <c r="G28" s="48"/>
    </row>
    <row r="29" spans="1:7" x14ac:dyDescent="0.25">
      <c r="A29" s="45"/>
      <c r="B29" s="43"/>
      <c r="C29" s="41"/>
      <c r="D29" s="43"/>
      <c r="E29" s="43"/>
      <c r="F29" s="43"/>
      <c r="G29" s="44"/>
    </row>
    <row r="30" spans="1:7" x14ac:dyDescent="0.25">
      <c r="A30" s="42"/>
      <c r="B30" s="46"/>
      <c r="C30" s="41"/>
      <c r="D30" s="46"/>
      <c r="E30" s="46"/>
      <c r="F30" s="46"/>
      <c r="G30" s="48"/>
    </row>
    <row r="31" spans="1:7" x14ac:dyDescent="0.25">
      <c r="A31" s="42"/>
      <c r="B31" s="46"/>
      <c r="C31" s="41"/>
      <c r="D31" s="46"/>
      <c r="E31" s="46"/>
      <c r="F31" s="46"/>
      <c r="G31" s="48"/>
    </row>
    <row r="32" spans="1:7" x14ac:dyDescent="0.25">
      <c r="A32" s="45"/>
      <c r="B32" s="46"/>
      <c r="C32" s="41"/>
      <c r="D32" s="43"/>
      <c r="E32" s="43"/>
      <c r="F32" s="43"/>
      <c r="G32" s="44"/>
    </row>
    <row r="33" spans="1:7" x14ac:dyDescent="0.25">
      <c r="A33" s="42"/>
      <c r="B33" s="46"/>
      <c r="C33" s="41"/>
      <c r="D33" s="46"/>
      <c r="E33" s="46"/>
      <c r="F33" s="46"/>
      <c r="G33" s="44"/>
    </row>
    <row r="34" spans="1:7" x14ac:dyDescent="0.25">
      <c r="A34" s="45"/>
      <c r="B34" s="46"/>
      <c r="C34" s="41"/>
      <c r="D34" s="43"/>
      <c r="E34" s="43"/>
      <c r="F34" s="43"/>
      <c r="G34" s="44"/>
    </row>
    <row r="35" spans="1:7" x14ac:dyDescent="0.25">
      <c r="A35" s="42"/>
      <c r="B35" s="46"/>
      <c r="C35" s="41"/>
      <c r="D35" s="46"/>
      <c r="E35" s="46"/>
      <c r="F35" s="46"/>
      <c r="G35" s="44"/>
    </row>
    <row r="36" spans="1:7" x14ac:dyDescent="0.25">
      <c r="A36" s="45"/>
      <c r="B36" s="43"/>
      <c r="C36" s="41"/>
      <c r="D36" s="43"/>
      <c r="E36" s="43"/>
      <c r="F36" s="43"/>
      <c r="G36" s="48"/>
    </row>
    <row r="37" spans="1:7" x14ac:dyDescent="0.25">
      <c r="A37" s="42"/>
      <c r="B37" s="46"/>
      <c r="C37" s="41"/>
      <c r="D37" s="46"/>
      <c r="E37" s="46"/>
      <c r="F37" s="46"/>
      <c r="G37" s="44"/>
    </row>
    <row r="38" spans="1:7" x14ac:dyDescent="0.25">
      <c r="A38" s="42"/>
      <c r="B38" s="46"/>
      <c r="C38" s="41"/>
      <c r="D38" s="46"/>
      <c r="E38" s="46"/>
      <c r="F38" s="46"/>
      <c r="G38" s="44"/>
    </row>
    <row r="39" spans="1:7" x14ac:dyDescent="0.25">
      <c r="A39" s="42"/>
      <c r="B39" s="46"/>
      <c r="C39" s="41"/>
      <c r="D39" s="46"/>
      <c r="E39" s="46"/>
      <c r="F39" s="46"/>
      <c r="G39" s="44"/>
    </row>
    <row r="40" spans="1:7" x14ac:dyDescent="0.25">
      <c r="A40" s="42"/>
      <c r="B40" s="46"/>
      <c r="C40" s="41"/>
      <c r="D40" s="46"/>
      <c r="E40" s="46"/>
      <c r="F40" s="46"/>
      <c r="G40" s="44"/>
    </row>
    <row r="41" spans="1:7" x14ac:dyDescent="0.25">
      <c r="A41" s="42"/>
      <c r="B41" s="46"/>
      <c r="C41" s="41"/>
      <c r="D41" s="46"/>
      <c r="E41" s="46"/>
      <c r="F41" s="46"/>
      <c r="G41" s="44"/>
    </row>
    <row r="42" spans="1:7" x14ac:dyDescent="0.25">
      <c r="A42" s="42"/>
      <c r="B42" s="46"/>
      <c r="C42" s="41"/>
      <c r="D42" s="46"/>
      <c r="E42" s="46"/>
      <c r="F42" s="46"/>
      <c r="G42" s="44"/>
    </row>
    <row r="43" spans="1:7" x14ac:dyDescent="0.25">
      <c r="A43" s="42"/>
      <c r="B43" s="46"/>
      <c r="C43" s="41"/>
      <c r="D43" s="46"/>
      <c r="E43" s="46"/>
      <c r="F43" s="46"/>
      <c r="G43" s="44"/>
    </row>
    <row r="44" spans="1:7" x14ac:dyDescent="0.25">
      <c r="A44" s="42"/>
      <c r="B44" s="46"/>
      <c r="C44" s="41"/>
      <c r="D44" s="46"/>
      <c r="E44" s="46"/>
      <c r="F44" s="46"/>
      <c r="G44" s="44"/>
    </row>
    <row r="45" spans="1:7" x14ac:dyDescent="0.25">
      <c r="A45" s="42"/>
      <c r="B45" s="46"/>
      <c r="C45" s="41"/>
      <c r="D45" s="46"/>
      <c r="E45" s="46"/>
      <c r="F45" s="46"/>
      <c r="G45" s="44"/>
    </row>
    <row r="46" spans="1:7" x14ac:dyDescent="0.25">
      <c r="A46" s="65" t="s">
        <v>41</v>
      </c>
      <c r="B46" s="66"/>
      <c r="C46" s="66"/>
      <c r="D46" s="66"/>
      <c r="E46" s="66"/>
      <c r="F46" s="66"/>
      <c r="G46" s="67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90" zoomScaleNormal="90" workbookViewId="0">
      <selection activeCell="B20" sqref="B2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190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" t="s">
        <v>91</v>
      </c>
      <c r="B5" s="3">
        <v>3000</v>
      </c>
      <c r="C5" s="3">
        <v>300</v>
      </c>
      <c r="D5" s="3">
        <f>'HOLOCRANEO 30GY'!$B5/'HOLOCRANEO 30GY'!$C5</f>
        <v>10</v>
      </c>
      <c r="E5" s="4">
        <v>1</v>
      </c>
      <c r="G5" s="72" t="s">
        <v>126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42" t="s">
        <v>33</v>
      </c>
      <c r="B8" s="43" t="s">
        <v>91</v>
      </c>
      <c r="C8" s="41" t="s">
        <v>3</v>
      </c>
      <c r="D8" s="43">
        <v>2910</v>
      </c>
      <c r="E8" s="43">
        <v>95</v>
      </c>
      <c r="F8" s="43">
        <v>2850</v>
      </c>
      <c r="G8" s="44">
        <v>95</v>
      </c>
    </row>
    <row r="9" spans="1:7" x14ac:dyDescent="0.25">
      <c r="A9" s="45"/>
      <c r="B9" s="46"/>
      <c r="C9" s="47" t="s">
        <v>9</v>
      </c>
      <c r="D9" s="46">
        <v>3210</v>
      </c>
      <c r="E9" s="46"/>
      <c r="F9" s="46"/>
      <c r="G9" s="48"/>
    </row>
    <row r="10" spans="1:7" x14ac:dyDescent="0.25">
      <c r="A10" s="42" t="s">
        <v>37</v>
      </c>
      <c r="B10" s="43" t="s">
        <v>104</v>
      </c>
      <c r="C10" s="41" t="s">
        <v>9</v>
      </c>
      <c r="D10" s="43">
        <v>3000</v>
      </c>
      <c r="E10" s="43"/>
      <c r="F10" s="43"/>
      <c r="G10" s="44"/>
    </row>
    <row r="11" spans="1:7" x14ac:dyDescent="0.25">
      <c r="A11" s="45"/>
      <c r="B11" s="46" t="s">
        <v>105</v>
      </c>
      <c r="C11" s="47" t="s">
        <v>9</v>
      </c>
      <c r="D11" s="46">
        <v>3000</v>
      </c>
      <c r="E11" s="46"/>
      <c r="F11" s="46"/>
      <c r="G11" s="48"/>
    </row>
    <row r="12" spans="1:7" x14ac:dyDescent="0.25">
      <c r="A12" s="42"/>
      <c r="B12" s="43" t="s">
        <v>106</v>
      </c>
      <c r="C12" s="41" t="s">
        <v>9</v>
      </c>
      <c r="D12" s="43">
        <v>500</v>
      </c>
      <c r="E12" s="43"/>
      <c r="F12" s="43">
        <v>1000</v>
      </c>
      <c r="G12" s="44"/>
    </row>
    <row r="13" spans="1:7" x14ac:dyDescent="0.25">
      <c r="A13" s="45"/>
      <c r="B13" s="46" t="s">
        <v>107</v>
      </c>
      <c r="C13" s="47" t="s">
        <v>9</v>
      </c>
      <c r="D13" s="46">
        <v>500</v>
      </c>
      <c r="E13" s="46"/>
      <c r="F13" s="46">
        <v>1000</v>
      </c>
      <c r="G13" s="48"/>
    </row>
    <row r="14" spans="1:7" x14ac:dyDescent="0.25">
      <c r="A14" s="42"/>
      <c r="B14" s="43" t="s">
        <v>40</v>
      </c>
      <c r="C14" s="41" t="s">
        <v>9</v>
      </c>
      <c r="D14" s="43">
        <v>3210</v>
      </c>
      <c r="E14" s="43"/>
      <c r="F14" s="43"/>
      <c r="G14" s="44"/>
    </row>
    <row r="15" spans="1:7" x14ac:dyDescent="0.25">
      <c r="A15" s="45"/>
      <c r="B15" s="46"/>
      <c r="C15" s="47"/>
      <c r="D15" s="46"/>
      <c r="E15" s="46"/>
      <c r="F15" s="46"/>
      <c r="G15" s="48"/>
    </row>
    <row r="16" spans="1:7" x14ac:dyDescent="0.25">
      <c r="A16" s="42"/>
      <c r="B16" s="43"/>
      <c r="C16" s="41"/>
      <c r="D16" s="43"/>
      <c r="E16" s="43"/>
      <c r="F16" s="43"/>
      <c r="G16" s="44"/>
    </row>
    <row r="17" spans="1:7" x14ac:dyDescent="0.25">
      <c r="A17" s="45"/>
      <c r="B17" s="46"/>
      <c r="C17" s="47"/>
      <c r="D17" s="46"/>
      <c r="E17" s="46"/>
      <c r="F17" s="46"/>
      <c r="G17" s="48"/>
    </row>
    <row r="18" spans="1:7" x14ac:dyDescent="0.25">
      <c r="A18" s="42"/>
      <c r="B18" s="43"/>
      <c r="C18" s="41"/>
      <c r="D18" s="43"/>
      <c r="E18" s="43"/>
      <c r="F18" s="43"/>
      <c r="G18" s="44"/>
    </row>
    <row r="19" spans="1:7" x14ac:dyDescent="0.25">
      <c r="A19" s="45"/>
      <c r="B19" s="46"/>
      <c r="C19" s="47"/>
      <c r="D19" s="46"/>
      <c r="E19" s="46"/>
      <c r="F19" s="46"/>
      <c r="G19" s="48"/>
    </row>
    <row r="20" spans="1:7" x14ac:dyDescent="0.25">
      <c r="A20" s="42"/>
      <c r="B20" s="43"/>
      <c r="C20" s="41"/>
      <c r="D20" s="43"/>
      <c r="E20" s="43"/>
      <c r="F20" s="43"/>
      <c r="G20" s="44"/>
    </row>
    <row r="21" spans="1:7" x14ac:dyDescent="0.25">
      <c r="A21" s="45"/>
      <c r="B21" s="46"/>
      <c r="C21" s="47"/>
      <c r="D21" s="46"/>
      <c r="E21" s="46"/>
      <c r="F21" s="46"/>
      <c r="G21" s="48"/>
    </row>
    <row r="22" spans="1:7" x14ac:dyDescent="0.25">
      <c r="A22" s="42"/>
      <c r="B22" s="43"/>
      <c r="C22" s="41"/>
      <c r="D22" s="43"/>
      <c r="E22" s="43"/>
      <c r="F22" s="43"/>
      <c r="G22" s="44"/>
    </row>
    <row r="23" spans="1:7" x14ac:dyDescent="0.25">
      <c r="A23" s="45"/>
      <c r="B23" s="46"/>
      <c r="C23" s="47"/>
      <c r="D23" s="46"/>
      <c r="E23" s="46"/>
      <c r="F23" s="46"/>
      <c r="G23" s="48"/>
    </row>
    <row r="24" spans="1:7" x14ac:dyDescent="0.25">
      <c r="A24" s="42"/>
      <c r="B24" s="43"/>
      <c r="C24" s="41"/>
      <c r="D24" s="43"/>
      <c r="E24" s="43"/>
      <c r="F24" s="43"/>
      <c r="G24" s="44"/>
    </row>
    <row r="25" spans="1:7" x14ac:dyDescent="0.25">
      <c r="A25" s="45"/>
      <c r="B25" s="46"/>
      <c r="C25" s="47"/>
      <c r="D25" s="46"/>
      <c r="E25" s="46"/>
      <c r="F25" s="46"/>
      <c r="G25" s="48"/>
    </row>
    <row r="26" spans="1:7" x14ac:dyDescent="0.25">
      <c r="A26" s="42"/>
      <c r="B26" s="43"/>
      <c r="C26" s="41"/>
      <c r="D26" s="43"/>
      <c r="E26" s="43"/>
      <c r="F26" s="43"/>
      <c r="G26" s="44"/>
    </row>
    <row r="27" spans="1:7" x14ac:dyDescent="0.25">
      <c r="A27" s="45"/>
      <c r="B27" s="46"/>
      <c r="C27" s="47"/>
      <c r="D27" s="46"/>
      <c r="E27" s="46"/>
      <c r="F27" s="46"/>
      <c r="G27" s="48"/>
    </row>
    <row r="28" spans="1:7" x14ac:dyDescent="0.25">
      <c r="A28" s="42"/>
      <c r="B28" s="43"/>
      <c r="C28" s="41"/>
      <c r="D28" s="43"/>
      <c r="E28" s="43"/>
      <c r="F28" s="43"/>
      <c r="G28" s="44"/>
    </row>
    <row r="29" spans="1:7" x14ac:dyDescent="0.25">
      <c r="A29" s="45"/>
      <c r="B29" s="46"/>
      <c r="C29" s="47"/>
      <c r="D29" s="46"/>
      <c r="E29" s="46"/>
      <c r="F29" s="46"/>
      <c r="G29" s="48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5"/>
      <c r="B31" s="46"/>
      <c r="C31" s="47"/>
      <c r="D31" s="46"/>
      <c r="E31" s="46"/>
      <c r="F31" s="46"/>
      <c r="G31" s="48"/>
    </row>
    <row r="32" spans="1:7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9"/>
      <c r="B44" s="50"/>
      <c r="C44" s="51"/>
      <c r="D44" s="50"/>
      <c r="E44" s="50"/>
      <c r="F44" s="50"/>
      <c r="G44" s="52"/>
    </row>
    <row r="46" spans="1:7" x14ac:dyDescent="0.25">
      <c r="A46" s="1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110" zoomScaleNormal="110" workbookViewId="0">
      <selection activeCell="B17" sqref="B17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191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" t="s">
        <v>91</v>
      </c>
      <c r="B5" s="3">
        <v>2500</v>
      </c>
      <c r="C5" s="3">
        <v>250</v>
      </c>
      <c r="D5" s="3">
        <f>'HOLOCRANEO 25GY'!$B5/'HOLOCRANEO 25GY'!$C5</f>
        <v>10</v>
      </c>
      <c r="E5" s="4">
        <v>1</v>
      </c>
      <c r="G5" s="72" t="s">
        <v>126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42" t="s">
        <v>33</v>
      </c>
      <c r="B8" s="43" t="s">
        <v>91</v>
      </c>
      <c r="C8" s="41" t="s">
        <v>3</v>
      </c>
      <c r="D8" s="43">
        <v>2425</v>
      </c>
      <c r="E8" s="43">
        <v>95</v>
      </c>
      <c r="F8" s="43">
        <v>2375</v>
      </c>
      <c r="G8" s="44">
        <v>95</v>
      </c>
    </row>
    <row r="9" spans="1:7" x14ac:dyDescent="0.25">
      <c r="A9" s="45"/>
      <c r="B9" s="46"/>
      <c r="C9" s="47" t="s">
        <v>9</v>
      </c>
      <c r="D9" s="46">
        <v>2675</v>
      </c>
      <c r="E9" s="46"/>
      <c r="F9" s="46"/>
      <c r="G9" s="48"/>
    </row>
    <row r="10" spans="1:7" x14ac:dyDescent="0.25">
      <c r="A10" s="42" t="s">
        <v>37</v>
      </c>
      <c r="B10" s="43" t="s">
        <v>104</v>
      </c>
      <c r="C10" s="41" t="s">
        <v>9</v>
      </c>
      <c r="D10" s="43">
        <v>3000</v>
      </c>
      <c r="E10" s="43"/>
      <c r="F10" s="43"/>
      <c r="G10" s="44"/>
    </row>
    <row r="11" spans="1:7" x14ac:dyDescent="0.25">
      <c r="A11" s="45"/>
      <c r="B11" s="46" t="s">
        <v>105</v>
      </c>
      <c r="C11" s="47" t="s">
        <v>9</v>
      </c>
      <c r="D11" s="46">
        <v>3000</v>
      </c>
      <c r="E11" s="46"/>
      <c r="F11" s="46"/>
      <c r="G11" s="48"/>
    </row>
    <row r="12" spans="1:7" x14ac:dyDescent="0.25">
      <c r="A12" s="42"/>
      <c r="B12" s="43" t="s">
        <v>106</v>
      </c>
      <c r="C12" s="41" t="s">
        <v>9</v>
      </c>
      <c r="D12" s="43">
        <v>500</v>
      </c>
      <c r="E12" s="43"/>
      <c r="F12" s="43">
        <v>1000</v>
      </c>
      <c r="G12" s="44"/>
    </row>
    <row r="13" spans="1:7" x14ac:dyDescent="0.25">
      <c r="A13" s="45"/>
      <c r="B13" s="46" t="s">
        <v>107</v>
      </c>
      <c r="C13" s="47" t="s">
        <v>9</v>
      </c>
      <c r="D13" s="46">
        <v>500</v>
      </c>
      <c r="E13" s="46"/>
      <c r="F13" s="46">
        <v>1000</v>
      </c>
      <c r="G13" s="48"/>
    </row>
    <row r="14" spans="1:7" x14ac:dyDescent="0.25">
      <c r="A14" s="42"/>
      <c r="B14" s="43" t="s">
        <v>40</v>
      </c>
      <c r="C14" s="41" t="s">
        <v>9</v>
      </c>
      <c r="D14" s="43">
        <v>2675</v>
      </c>
      <c r="E14" s="43"/>
      <c r="F14" s="43"/>
      <c r="G14" s="44"/>
    </row>
    <row r="15" spans="1:7" x14ac:dyDescent="0.25">
      <c r="A15" s="45"/>
      <c r="B15" s="46"/>
      <c r="C15" s="47"/>
      <c r="D15" s="46"/>
      <c r="E15" s="46"/>
      <c r="F15" s="46"/>
      <c r="G15" s="48"/>
    </row>
    <row r="16" spans="1:7" x14ac:dyDescent="0.25">
      <c r="A16" s="42"/>
      <c r="B16" s="43"/>
      <c r="C16" s="41"/>
      <c r="D16" s="43"/>
      <c r="E16" s="43"/>
      <c r="F16" s="43"/>
      <c r="G16" s="44"/>
    </row>
    <row r="17" spans="1:7" x14ac:dyDescent="0.25">
      <c r="A17" s="45"/>
      <c r="B17" s="46"/>
      <c r="C17" s="47"/>
      <c r="D17" s="46"/>
      <c r="E17" s="46"/>
      <c r="F17" s="46"/>
      <c r="G17" s="48"/>
    </row>
    <row r="18" spans="1:7" x14ac:dyDescent="0.25">
      <c r="A18" s="42"/>
      <c r="B18" s="43"/>
      <c r="C18" s="41"/>
      <c r="D18" s="43"/>
      <c r="E18" s="43"/>
      <c r="F18" s="43"/>
      <c r="G18" s="44"/>
    </row>
    <row r="19" spans="1:7" x14ac:dyDescent="0.25">
      <c r="A19" s="45"/>
      <c r="B19" s="46"/>
      <c r="C19" s="47"/>
      <c r="D19" s="46"/>
      <c r="E19" s="46"/>
      <c r="F19" s="46"/>
      <c r="G19" s="48"/>
    </row>
    <row r="20" spans="1:7" x14ac:dyDescent="0.25">
      <c r="A20" s="42"/>
      <c r="B20" s="43"/>
      <c r="C20" s="41"/>
      <c r="D20" s="43"/>
      <c r="E20" s="43"/>
      <c r="F20" s="43"/>
      <c r="G20" s="44"/>
    </row>
    <row r="21" spans="1:7" x14ac:dyDescent="0.25">
      <c r="A21" s="45"/>
      <c r="B21" s="46"/>
      <c r="C21" s="47"/>
      <c r="D21" s="46"/>
      <c r="E21" s="46"/>
      <c r="F21" s="46"/>
      <c r="G21" s="48"/>
    </row>
    <row r="22" spans="1:7" x14ac:dyDescent="0.25">
      <c r="A22" s="42"/>
      <c r="B22" s="43"/>
      <c r="C22" s="41"/>
      <c r="D22" s="43"/>
      <c r="E22" s="43"/>
      <c r="F22" s="43"/>
      <c r="G22" s="44"/>
    </row>
    <row r="23" spans="1:7" x14ac:dyDescent="0.25">
      <c r="A23" s="45"/>
      <c r="B23" s="46"/>
      <c r="C23" s="47"/>
      <c r="D23" s="46"/>
      <c r="E23" s="46"/>
      <c r="F23" s="46"/>
      <c r="G23" s="48"/>
    </row>
    <row r="24" spans="1:7" x14ac:dyDescent="0.25">
      <c r="A24" s="42"/>
      <c r="B24" s="43"/>
      <c r="C24" s="41"/>
      <c r="D24" s="43"/>
      <c r="E24" s="43"/>
      <c r="F24" s="43"/>
      <c r="G24" s="44"/>
    </row>
    <row r="25" spans="1:7" x14ac:dyDescent="0.25">
      <c r="A25" s="45"/>
      <c r="B25" s="46"/>
      <c r="C25" s="47"/>
      <c r="D25" s="46"/>
      <c r="E25" s="46"/>
      <c r="F25" s="46"/>
      <c r="G25" s="48"/>
    </row>
    <row r="26" spans="1:7" x14ac:dyDescent="0.25">
      <c r="A26" s="42"/>
      <c r="B26" s="43"/>
      <c r="C26" s="41"/>
      <c r="D26" s="43"/>
      <c r="E26" s="43"/>
      <c r="F26" s="43"/>
      <c r="G26" s="44"/>
    </row>
    <row r="27" spans="1:7" x14ac:dyDescent="0.25">
      <c r="A27" s="45"/>
      <c r="B27" s="46"/>
      <c r="C27" s="47"/>
      <c r="D27" s="46"/>
      <c r="E27" s="46"/>
      <c r="F27" s="46"/>
      <c r="G27" s="48"/>
    </row>
    <row r="28" spans="1:7" x14ac:dyDescent="0.25">
      <c r="A28" s="42"/>
      <c r="B28" s="43"/>
      <c r="C28" s="41"/>
      <c r="D28" s="43"/>
      <c r="E28" s="43"/>
      <c r="F28" s="43"/>
      <c r="G28" s="44"/>
    </row>
    <row r="29" spans="1:7" x14ac:dyDescent="0.25">
      <c r="A29" s="45"/>
      <c r="B29" s="46"/>
      <c r="C29" s="47"/>
      <c r="D29" s="46"/>
      <c r="E29" s="46"/>
      <c r="F29" s="46"/>
      <c r="G29" s="48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5"/>
      <c r="B31" s="46"/>
      <c r="C31" s="47"/>
      <c r="D31" s="46"/>
      <c r="E31" s="46"/>
      <c r="F31" s="46"/>
      <c r="G31" s="48"/>
    </row>
    <row r="32" spans="1:7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9"/>
      <c r="B44" s="50"/>
      <c r="C44" s="51"/>
      <c r="D44" s="50"/>
      <c r="E44" s="50"/>
      <c r="F44" s="50"/>
      <c r="G44" s="52"/>
    </row>
    <row r="46" spans="1:7" x14ac:dyDescent="0.25">
      <c r="A46" s="1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2" zoomScale="154" zoomScaleNormal="154" workbookViewId="0">
      <selection activeCell="B17" sqref="B17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</cols>
  <sheetData>
    <row r="1" spans="1:7" ht="255.75" customHeight="1" x14ac:dyDescent="0.25"/>
    <row r="2" spans="1:7" ht="21" customHeight="1" x14ac:dyDescent="0.35">
      <c r="A2" s="38" t="s">
        <v>18</v>
      </c>
      <c r="B2" s="39" t="s">
        <v>116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7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7" x14ac:dyDescent="0.25">
      <c r="A5" s="2" t="s">
        <v>91</v>
      </c>
      <c r="B5" s="3">
        <v>3000</v>
      </c>
      <c r="C5" s="3">
        <v>300</v>
      </c>
      <c r="D5" s="3">
        <f>'HOLOCRANEO PROTHIPO'!$B5/'HOLOCRANEO PROTHIPO'!$C5</f>
        <v>10</v>
      </c>
      <c r="E5" s="4">
        <v>1</v>
      </c>
      <c r="G5" s="72" t="s">
        <v>119</v>
      </c>
    </row>
    <row r="7" spans="1:7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7" x14ac:dyDescent="0.25">
      <c r="A8" s="42" t="s">
        <v>33</v>
      </c>
      <c r="B8" s="43" t="s">
        <v>91</v>
      </c>
      <c r="C8" s="41" t="s">
        <v>3</v>
      </c>
      <c r="D8" s="43">
        <v>3000</v>
      </c>
      <c r="E8" s="43">
        <v>90</v>
      </c>
      <c r="F8" s="43"/>
      <c r="G8" s="44"/>
    </row>
    <row r="9" spans="1:7" x14ac:dyDescent="0.25">
      <c r="A9" s="45"/>
      <c r="B9" s="46"/>
      <c r="C9" s="47" t="s">
        <v>13</v>
      </c>
      <c r="D9" s="46">
        <v>98</v>
      </c>
      <c r="E9" s="46">
        <v>2500</v>
      </c>
      <c r="F9" s="46"/>
      <c r="G9" s="48"/>
    </row>
    <row r="10" spans="1:7" x14ac:dyDescent="0.25">
      <c r="A10" s="42"/>
      <c r="B10" s="43"/>
      <c r="C10" s="41" t="s">
        <v>12</v>
      </c>
      <c r="D10" s="43">
        <v>2</v>
      </c>
      <c r="E10" s="43">
        <v>3750</v>
      </c>
      <c r="F10" s="43">
        <v>2</v>
      </c>
      <c r="G10" s="44">
        <v>4000</v>
      </c>
    </row>
    <row r="11" spans="1:7" x14ac:dyDescent="0.25">
      <c r="A11" s="45" t="s">
        <v>37</v>
      </c>
      <c r="B11" s="43" t="s">
        <v>117</v>
      </c>
      <c r="C11" s="41" t="s">
        <v>12</v>
      </c>
      <c r="D11" s="43">
        <v>100</v>
      </c>
      <c r="E11" s="43">
        <v>900</v>
      </c>
      <c r="F11" s="43">
        <v>100</v>
      </c>
      <c r="G11" s="44">
        <v>1000</v>
      </c>
    </row>
    <row r="12" spans="1:7" x14ac:dyDescent="0.25">
      <c r="A12" s="42"/>
      <c r="B12" s="46"/>
      <c r="C12" s="47" t="s">
        <v>9</v>
      </c>
      <c r="D12" s="46">
        <v>1600</v>
      </c>
      <c r="E12" s="46"/>
      <c r="F12" s="46">
        <v>1700</v>
      </c>
      <c r="G12" s="48"/>
    </row>
    <row r="13" spans="1:7" x14ac:dyDescent="0.25">
      <c r="A13" s="45"/>
      <c r="B13" s="46" t="s">
        <v>101</v>
      </c>
      <c r="C13" s="41" t="s">
        <v>9</v>
      </c>
      <c r="D13" s="43">
        <v>3750</v>
      </c>
      <c r="E13" s="43"/>
      <c r="F13" s="43"/>
      <c r="G13" s="44"/>
    </row>
    <row r="14" spans="1:7" x14ac:dyDescent="0.25">
      <c r="A14" s="42"/>
      <c r="B14" s="46" t="s">
        <v>102</v>
      </c>
      <c r="C14" s="41" t="s">
        <v>9</v>
      </c>
      <c r="D14" s="43">
        <v>3750</v>
      </c>
      <c r="E14" s="43"/>
      <c r="F14" s="43"/>
      <c r="G14" s="44"/>
    </row>
    <row r="15" spans="1:7" x14ac:dyDescent="0.25">
      <c r="A15" s="45"/>
      <c r="B15" s="46" t="s">
        <v>103</v>
      </c>
      <c r="C15" s="41" t="s">
        <v>9</v>
      </c>
      <c r="D15" s="46">
        <v>3750</v>
      </c>
      <c r="E15" s="46"/>
      <c r="F15" s="46"/>
      <c r="G15" s="48"/>
    </row>
    <row r="16" spans="1:7" x14ac:dyDescent="0.25">
      <c r="A16" s="42"/>
      <c r="B16" s="43" t="s">
        <v>104</v>
      </c>
      <c r="C16" s="41" t="s">
        <v>9</v>
      </c>
      <c r="D16" s="43">
        <v>3000</v>
      </c>
      <c r="E16" s="43"/>
      <c r="F16" s="43"/>
      <c r="G16" s="44"/>
    </row>
    <row r="17" spans="1:7" x14ac:dyDescent="0.25">
      <c r="A17" s="45"/>
      <c r="B17" s="46" t="s">
        <v>105</v>
      </c>
      <c r="C17" s="47" t="s">
        <v>9</v>
      </c>
      <c r="D17" s="46">
        <v>3000</v>
      </c>
      <c r="E17" s="46"/>
      <c r="F17" s="46"/>
      <c r="G17" s="48"/>
    </row>
    <row r="18" spans="1:7" x14ac:dyDescent="0.25">
      <c r="A18" s="42"/>
      <c r="B18" s="43" t="s">
        <v>106</v>
      </c>
      <c r="C18" s="41" t="s">
        <v>9</v>
      </c>
      <c r="D18" s="43">
        <v>700</v>
      </c>
      <c r="E18" s="43"/>
      <c r="F18" s="43">
        <v>1000</v>
      </c>
      <c r="G18" s="44"/>
    </row>
    <row r="19" spans="1:7" x14ac:dyDescent="0.25">
      <c r="A19" s="45"/>
      <c r="B19" s="46" t="s">
        <v>107</v>
      </c>
      <c r="C19" s="47" t="s">
        <v>9</v>
      </c>
      <c r="D19" s="46">
        <v>700</v>
      </c>
      <c r="E19" s="46"/>
      <c r="F19" s="46">
        <v>1000</v>
      </c>
      <c r="G19" s="48"/>
    </row>
    <row r="20" spans="1:7" x14ac:dyDescent="0.25">
      <c r="A20" s="42"/>
      <c r="B20" s="43"/>
      <c r="C20" s="41"/>
      <c r="D20" s="43"/>
      <c r="E20" s="43"/>
      <c r="F20" s="43"/>
      <c r="G20" s="44"/>
    </row>
    <row r="21" spans="1:7" x14ac:dyDescent="0.25">
      <c r="A21" s="45"/>
      <c r="B21" s="46"/>
      <c r="C21" s="47"/>
      <c r="D21" s="46"/>
      <c r="E21" s="46"/>
      <c r="F21" s="46"/>
      <c r="G21" s="48"/>
    </row>
    <row r="22" spans="1:7" x14ac:dyDescent="0.25">
      <c r="A22" s="42"/>
      <c r="B22" s="43"/>
      <c r="C22" s="41"/>
      <c r="D22" s="43"/>
      <c r="E22" s="43"/>
      <c r="F22" s="43"/>
      <c r="G22" s="44"/>
    </row>
    <row r="23" spans="1:7" x14ac:dyDescent="0.25">
      <c r="A23" s="45"/>
      <c r="B23" s="46"/>
      <c r="C23" s="47"/>
      <c r="D23" s="46"/>
      <c r="E23" s="46"/>
      <c r="F23" s="46"/>
      <c r="G23" s="48"/>
    </row>
    <row r="24" spans="1:7" x14ac:dyDescent="0.25">
      <c r="A24" s="42"/>
      <c r="B24" s="43"/>
      <c r="C24" s="41"/>
      <c r="D24" s="43"/>
      <c r="E24" s="43"/>
      <c r="F24" s="43"/>
      <c r="G24" s="44"/>
    </row>
    <row r="25" spans="1:7" x14ac:dyDescent="0.25">
      <c r="A25" s="45"/>
      <c r="B25" s="46"/>
      <c r="C25" s="47"/>
      <c r="D25" s="46"/>
      <c r="E25" s="46"/>
      <c r="F25" s="46"/>
      <c r="G25" s="48"/>
    </row>
    <row r="26" spans="1:7" x14ac:dyDescent="0.25">
      <c r="A26" s="42"/>
      <c r="B26" s="43"/>
      <c r="C26" s="41"/>
      <c r="D26" s="43"/>
      <c r="E26" s="43"/>
      <c r="F26" s="43"/>
      <c r="G26" s="44"/>
    </row>
    <row r="27" spans="1:7" x14ac:dyDescent="0.25">
      <c r="A27" s="45"/>
      <c r="B27" s="46"/>
      <c r="C27" s="47"/>
      <c r="D27" s="46"/>
      <c r="E27" s="46"/>
      <c r="F27" s="46"/>
      <c r="G27" s="48"/>
    </row>
    <row r="28" spans="1:7" x14ac:dyDescent="0.25">
      <c r="A28" s="42"/>
      <c r="B28" s="43"/>
      <c r="C28" s="41"/>
      <c r="D28" s="43"/>
      <c r="E28" s="43"/>
      <c r="F28" s="43"/>
      <c r="G28" s="44"/>
    </row>
    <row r="29" spans="1:7" x14ac:dyDescent="0.25">
      <c r="A29" s="45"/>
      <c r="B29" s="43"/>
      <c r="C29" s="41"/>
      <c r="D29" s="43"/>
      <c r="E29" s="43"/>
      <c r="F29" s="43"/>
      <c r="G29" s="44"/>
    </row>
    <row r="30" spans="1:7" x14ac:dyDescent="0.25">
      <c r="A30" s="42"/>
      <c r="B30" s="46"/>
      <c r="C30" s="47"/>
      <c r="D30" s="46"/>
      <c r="E30" s="46"/>
      <c r="F30" s="46"/>
      <c r="G30" s="48"/>
    </row>
    <row r="31" spans="1:7" x14ac:dyDescent="0.25">
      <c r="A31" s="45"/>
      <c r="B31" s="46"/>
      <c r="C31" s="41"/>
      <c r="D31" s="43"/>
      <c r="E31" s="43"/>
      <c r="F31" s="43"/>
      <c r="G31" s="44"/>
    </row>
    <row r="32" spans="1:7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9"/>
      <c r="B44" s="50"/>
      <c r="C44" s="51"/>
      <c r="D44" s="50"/>
      <c r="E44" s="50"/>
      <c r="F44" s="50"/>
      <c r="G44" s="52"/>
    </row>
    <row r="46" spans="1:7" x14ac:dyDescent="0.25">
      <c r="A46" s="1" t="s">
        <v>41</v>
      </c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opLeftCell="A4" zoomScale="150" zoomScaleNormal="150" workbookViewId="0">
      <selection activeCell="C24" sqref="C24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16384" width="11.42578125" style="72"/>
  </cols>
  <sheetData>
    <row r="1" spans="1:15" ht="255.75" customHeight="1" x14ac:dyDescent="0.25"/>
    <row r="2" spans="1:15" ht="21" customHeight="1" x14ac:dyDescent="0.35">
      <c r="A2" s="38" t="s">
        <v>18</v>
      </c>
      <c r="B2" s="39" t="s">
        <v>150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15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15" x14ac:dyDescent="0.25">
      <c r="A5" s="2" t="s">
        <v>91</v>
      </c>
      <c r="B5" s="3">
        <v>3000</v>
      </c>
      <c r="C5" s="3">
        <v>300</v>
      </c>
      <c r="D5" s="3">
        <f>'HOLOCRANEO PROTHIPO+BOOST'!$B5/'HOLOCRANEO PROTHIPO+BOOST'!$C5</f>
        <v>10</v>
      </c>
      <c r="E5" s="4">
        <v>1</v>
      </c>
      <c r="G5" s="72" t="s">
        <v>119</v>
      </c>
    </row>
    <row r="6" spans="1:15" x14ac:dyDescent="0.25">
      <c r="A6" s="9" t="s">
        <v>96</v>
      </c>
      <c r="B6" s="10">
        <v>3600</v>
      </c>
      <c r="C6" s="10">
        <v>360</v>
      </c>
      <c r="D6" s="10">
        <v>10</v>
      </c>
      <c r="E6" s="11">
        <v>1</v>
      </c>
    </row>
    <row r="8" spans="1:15" x14ac:dyDescent="0.25">
      <c r="A8" s="29" t="s">
        <v>27</v>
      </c>
      <c r="B8" s="30" t="s">
        <v>20</v>
      </c>
      <c r="C8" s="30" t="s">
        <v>28</v>
      </c>
      <c r="D8" s="30" t="s">
        <v>29</v>
      </c>
      <c r="E8" s="30" t="s">
        <v>30</v>
      </c>
      <c r="F8" s="30" t="s">
        <v>31</v>
      </c>
      <c r="G8" s="31" t="s">
        <v>32</v>
      </c>
    </row>
    <row r="9" spans="1:15" x14ac:dyDescent="0.25">
      <c r="A9" s="42" t="s">
        <v>33</v>
      </c>
      <c r="B9" s="43" t="s">
        <v>91</v>
      </c>
      <c r="C9" s="41" t="s">
        <v>3</v>
      </c>
      <c r="D9" s="43">
        <v>3000</v>
      </c>
      <c r="E9" s="43">
        <v>90</v>
      </c>
      <c r="F9" s="43"/>
      <c r="G9" s="44"/>
      <c r="I9" s="85"/>
      <c r="J9" s="85"/>
      <c r="K9" s="85"/>
      <c r="L9" s="85"/>
      <c r="M9" s="85"/>
      <c r="N9" s="85"/>
      <c r="O9" s="113"/>
    </row>
    <row r="10" spans="1:15" x14ac:dyDescent="0.25">
      <c r="A10" s="112"/>
      <c r="B10" s="111"/>
      <c r="C10" s="47" t="s">
        <v>13</v>
      </c>
      <c r="D10" s="46">
        <v>98</v>
      </c>
      <c r="E10" s="46">
        <v>2500</v>
      </c>
      <c r="F10" s="46"/>
      <c r="G10" s="48"/>
      <c r="I10" s="85"/>
      <c r="J10" s="85"/>
      <c r="K10" s="85"/>
      <c r="L10" s="85"/>
      <c r="M10" s="85"/>
      <c r="N10" s="85"/>
      <c r="O10" s="113"/>
    </row>
    <row r="11" spans="1:15" x14ac:dyDescent="0.25">
      <c r="A11" s="42"/>
      <c r="B11" s="43"/>
      <c r="C11" s="41" t="s">
        <v>12</v>
      </c>
      <c r="D11" s="43">
        <v>2</v>
      </c>
      <c r="E11" s="43">
        <v>3750</v>
      </c>
      <c r="F11" s="43">
        <v>2</v>
      </c>
      <c r="G11" s="44">
        <v>4000</v>
      </c>
      <c r="I11" s="85"/>
      <c r="J11" s="85"/>
      <c r="K11" s="85"/>
      <c r="L11" s="85"/>
      <c r="M11" s="85"/>
      <c r="N11" s="85"/>
      <c r="O11" s="113"/>
    </row>
    <row r="12" spans="1:15" x14ac:dyDescent="0.25">
      <c r="A12" s="42"/>
      <c r="B12" s="46" t="s">
        <v>96</v>
      </c>
      <c r="C12" s="41" t="s">
        <v>3</v>
      </c>
      <c r="D12" s="43">
        <v>3528</v>
      </c>
      <c r="E12" s="43">
        <v>95</v>
      </c>
      <c r="F12" s="43">
        <v>3420</v>
      </c>
      <c r="G12" s="44">
        <v>95</v>
      </c>
      <c r="I12" s="114"/>
      <c r="J12" s="85"/>
      <c r="K12" s="85"/>
      <c r="L12" s="85"/>
      <c r="M12" s="85"/>
      <c r="N12" s="85"/>
      <c r="O12" s="113"/>
    </row>
    <row r="13" spans="1:15" x14ac:dyDescent="0.25">
      <c r="A13" s="42"/>
      <c r="B13" s="43"/>
      <c r="C13" s="47" t="s">
        <v>9</v>
      </c>
      <c r="D13" s="46">
        <v>3852</v>
      </c>
      <c r="E13" s="43"/>
      <c r="F13" s="43">
        <v>3960</v>
      </c>
      <c r="G13" s="44"/>
      <c r="I13" s="85"/>
      <c r="J13" s="85"/>
      <c r="K13" s="85"/>
      <c r="L13" s="85"/>
      <c r="M13" s="85"/>
      <c r="N13" s="85"/>
      <c r="O13" s="113"/>
    </row>
    <row r="14" spans="1:15" x14ac:dyDescent="0.25">
      <c r="A14" s="42" t="s">
        <v>37</v>
      </c>
      <c r="B14" s="43" t="s">
        <v>117</v>
      </c>
      <c r="C14" s="41" t="s">
        <v>12</v>
      </c>
      <c r="D14" s="43">
        <v>100</v>
      </c>
      <c r="E14" s="43">
        <v>900</v>
      </c>
      <c r="F14" s="43">
        <v>100</v>
      </c>
      <c r="G14" s="44">
        <v>1000</v>
      </c>
      <c r="I14" s="85"/>
      <c r="J14" s="85"/>
      <c r="K14" s="85"/>
      <c r="L14" s="85"/>
      <c r="M14" s="85"/>
      <c r="N14" s="85"/>
      <c r="O14" s="113"/>
    </row>
    <row r="15" spans="1:15" x14ac:dyDescent="0.25">
      <c r="A15" s="42"/>
      <c r="B15" s="46"/>
      <c r="C15" s="47" t="s">
        <v>9</v>
      </c>
      <c r="D15" s="46">
        <v>1600</v>
      </c>
      <c r="E15" s="46"/>
      <c r="F15" s="46">
        <v>1700</v>
      </c>
      <c r="G15" s="48"/>
      <c r="I15" s="85"/>
      <c r="J15" s="85"/>
      <c r="K15" s="85"/>
      <c r="L15" s="85"/>
      <c r="M15" s="85"/>
      <c r="N15" s="85"/>
      <c r="O15" s="113"/>
    </row>
    <row r="16" spans="1:15" x14ac:dyDescent="0.25">
      <c r="A16" s="45"/>
      <c r="B16" s="46" t="s">
        <v>101</v>
      </c>
      <c r="C16" s="41" t="s">
        <v>9</v>
      </c>
      <c r="D16" s="43">
        <v>3750</v>
      </c>
      <c r="E16" s="43"/>
      <c r="F16" s="43"/>
      <c r="G16" s="44"/>
      <c r="I16" s="85"/>
      <c r="J16" s="85"/>
      <c r="K16" s="85"/>
      <c r="L16" s="85"/>
      <c r="M16" s="85"/>
      <c r="N16" s="85"/>
      <c r="O16" s="113"/>
    </row>
    <row r="17" spans="1:15" x14ac:dyDescent="0.25">
      <c r="A17" s="42"/>
      <c r="B17" s="46" t="s">
        <v>102</v>
      </c>
      <c r="C17" s="41" t="s">
        <v>9</v>
      </c>
      <c r="D17" s="43">
        <v>3750</v>
      </c>
      <c r="E17" s="43"/>
      <c r="F17" s="43"/>
      <c r="G17" s="44"/>
      <c r="I17" s="113"/>
      <c r="J17" s="113"/>
      <c r="K17" s="113"/>
      <c r="L17" s="113"/>
      <c r="M17" s="113"/>
      <c r="N17" s="113"/>
      <c r="O17" s="113"/>
    </row>
    <row r="18" spans="1:15" x14ac:dyDescent="0.25">
      <c r="A18" s="45"/>
      <c r="B18" s="46" t="s">
        <v>103</v>
      </c>
      <c r="C18" s="41" t="s">
        <v>9</v>
      </c>
      <c r="D18" s="46">
        <v>3750</v>
      </c>
      <c r="E18" s="46"/>
      <c r="F18" s="46"/>
      <c r="G18" s="48"/>
    </row>
    <row r="19" spans="1:15" x14ac:dyDescent="0.25">
      <c r="A19" s="42"/>
      <c r="B19" s="43" t="s">
        <v>104</v>
      </c>
      <c r="C19" s="41" t="s">
        <v>9</v>
      </c>
      <c r="D19" s="43">
        <v>3000</v>
      </c>
      <c r="E19" s="43"/>
      <c r="F19" s="43"/>
      <c r="G19" s="44"/>
    </row>
    <row r="20" spans="1:15" x14ac:dyDescent="0.25">
      <c r="A20" s="45"/>
      <c r="B20" s="46" t="s">
        <v>105</v>
      </c>
      <c r="C20" s="47" t="s">
        <v>9</v>
      </c>
      <c r="D20" s="46">
        <v>3000</v>
      </c>
      <c r="E20" s="46"/>
      <c r="F20" s="46"/>
      <c r="G20" s="48"/>
    </row>
    <row r="21" spans="1:15" x14ac:dyDescent="0.25">
      <c r="A21" s="42"/>
      <c r="B21" s="43" t="s">
        <v>106</v>
      </c>
      <c r="C21" s="41" t="s">
        <v>9</v>
      </c>
      <c r="D21" s="43">
        <v>700</v>
      </c>
      <c r="E21" s="43"/>
      <c r="F21" s="43">
        <v>1000</v>
      </c>
      <c r="G21" s="44"/>
    </row>
    <row r="22" spans="1:15" x14ac:dyDescent="0.25">
      <c r="A22" s="45"/>
      <c r="B22" s="46" t="s">
        <v>107</v>
      </c>
      <c r="C22" s="47" t="s">
        <v>9</v>
      </c>
      <c r="D22" s="46">
        <v>700</v>
      </c>
      <c r="E22" s="46"/>
      <c r="F22" s="46">
        <v>1000</v>
      </c>
      <c r="G22" s="48"/>
    </row>
    <row r="23" spans="1:15" x14ac:dyDescent="0.25">
      <c r="A23" s="42"/>
      <c r="B23" s="43"/>
      <c r="C23" s="41"/>
      <c r="D23" s="43"/>
      <c r="E23" s="43"/>
      <c r="F23" s="43"/>
      <c r="G23" s="44"/>
    </row>
    <row r="24" spans="1:15" x14ac:dyDescent="0.25">
      <c r="A24" s="42"/>
      <c r="B24" s="43"/>
      <c r="C24" s="41"/>
      <c r="D24" s="43"/>
      <c r="E24" s="43"/>
      <c r="F24" s="43"/>
      <c r="G24" s="44"/>
    </row>
    <row r="25" spans="1:15" x14ac:dyDescent="0.25">
      <c r="A25" s="45"/>
      <c r="B25" s="46"/>
      <c r="C25" s="47"/>
      <c r="D25" s="46"/>
      <c r="E25" s="46"/>
      <c r="F25" s="46"/>
      <c r="G25" s="48"/>
    </row>
    <row r="26" spans="1:15" x14ac:dyDescent="0.25">
      <c r="A26" s="42"/>
      <c r="B26" s="43"/>
      <c r="C26" s="41"/>
      <c r="D26" s="43"/>
      <c r="E26" s="43"/>
      <c r="F26" s="43"/>
      <c r="G26" s="44"/>
    </row>
    <row r="27" spans="1:15" x14ac:dyDescent="0.25">
      <c r="A27" s="45"/>
      <c r="B27" s="46"/>
      <c r="C27" s="47"/>
      <c r="D27" s="46"/>
      <c r="E27" s="46"/>
      <c r="F27" s="46"/>
      <c r="G27" s="48"/>
    </row>
    <row r="28" spans="1:15" x14ac:dyDescent="0.25">
      <c r="A28" s="42"/>
      <c r="B28" s="43"/>
      <c r="C28" s="41"/>
      <c r="D28" s="43"/>
      <c r="E28" s="43"/>
      <c r="F28" s="43"/>
      <c r="G28" s="44"/>
    </row>
    <row r="29" spans="1:15" x14ac:dyDescent="0.25">
      <c r="A29" s="45"/>
      <c r="B29" s="43"/>
      <c r="C29" s="41"/>
      <c r="D29" s="43"/>
      <c r="E29" s="43"/>
      <c r="F29" s="43"/>
      <c r="G29" s="44"/>
    </row>
    <row r="30" spans="1:15" x14ac:dyDescent="0.25">
      <c r="A30" s="42"/>
      <c r="B30" s="46"/>
      <c r="C30" s="47"/>
      <c r="D30" s="46"/>
      <c r="E30" s="46"/>
      <c r="F30" s="46"/>
      <c r="G30" s="48"/>
    </row>
    <row r="31" spans="1:15" x14ac:dyDescent="0.25">
      <c r="A31" s="45"/>
      <c r="B31" s="46"/>
      <c r="C31" s="41"/>
      <c r="D31" s="43"/>
      <c r="E31" s="43"/>
      <c r="F31" s="43"/>
      <c r="G31" s="44"/>
    </row>
    <row r="32" spans="1:15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9"/>
      <c r="B44" s="50"/>
      <c r="C44" s="51"/>
      <c r="D44" s="50"/>
      <c r="E44" s="50"/>
      <c r="F44" s="50"/>
      <c r="G44" s="52"/>
    </row>
    <row r="45" spans="1:7" x14ac:dyDescent="0.25">
      <c r="A45" s="42"/>
      <c r="B45" s="43"/>
      <c r="C45" s="41"/>
      <c r="D45" s="43"/>
      <c r="E45" s="43"/>
      <c r="F45" s="43"/>
      <c r="G45" s="44"/>
    </row>
    <row r="46" spans="1:7" x14ac:dyDescent="0.25">
      <c r="A46" s="1" t="s">
        <v>41</v>
      </c>
      <c r="B46" s="46"/>
      <c r="C46" s="47"/>
      <c r="D46" s="46"/>
      <c r="E46" s="46"/>
      <c r="F46" s="46"/>
      <c r="G46" s="48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80" zoomScaleNormal="80" workbookViewId="0">
      <selection activeCell="B28" sqref="B28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198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91</v>
      </c>
      <c r="B5" s="27">
        <v>5500</v>
      </c>
      <c r="C5" s="27">
        <v>275</v>
      </c>
      <c r="D5" s="27">
        <f>'GLOTIS 55GY'!$B5/'GLOTIS 55GY'!$C5</f>
        <v>20</v>
      </c>
      <c r="E5" s="28">
        <v>1</v>
      </c>
      <c r="G5" s="72" t="s">
        <v>122</v>
      </c>
      <c r="H5" s="35"/>
    </row>
    <row r="6" spans="1:9" x14ac:dyDescent="0.25">
      <c r="I6" s="34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9" x14ac:dyDescent="0.25">
      <c r="A8" s="42" t="s">
        <v>33</v>
      </c>
      <c r="B8" s="43" t="s">
        <v>91</v>
      </c>
      <c r="C8" s="41" t="s">
        <v>3</v>
      </c>
      <c r="D8" s="43">
        <v>5390</v>
      </c>
      <c r="E8" s="43">
        <v>95</v>
      </c>
      <c r="F8" s="43">
        <v>5225</v>
      </c>
      <c r="G8" s="44">
        <v>95</v>
      </c>
    </row>
    <row r="9" spans="1:9" x14ac:dyDescent="0.25">
      <c r="A9" s="45"/>
      <c r="B9" s="46"/>
      <c r="C9" s="47" t="s">
        <v>9</v>
      </c>
      <c r="D9" s="46">
        <v>5885</v>
      </c>
      <c r="E9" s="46"/>
      <c r="F9" s="46"/>
      <c r="G9" s="48"/>
    </row>
    <row r="10" spans="1:9" x14ac:dyDescent="0.25">
      <c r="A10" s="42" t="s">
        <v>37</v>
      </c>
      <c r="B10" s="43" t="s">
        <v>57</v>
      </c>
      <c r="C10" s="41" t="s">
        <v>199</v>
      </c>
      <c r="D10" s="43">
        <v>4800</v>
      </c>
      <c r="E10" s="43">
        <v>5</v>
      </c>
      <c r="F10" s="43">
        <v>4800</v>
      </c>
      <c r="G10" s="44">
        <v>0.03</v>
      </c>
    </row>
    <row r="11" spans="1:9" x14ac:dyDescent="0.25">
      <c r="A11" s="45"/>
      <c r="B11" s="46" t="s">
        <v>54</v>
      </c>
      <c r="C11" s="41" t="s">
        <v>199</v>
      </c>
      <c r="D11" s="46">
        <v>4200</v>
      </c>
      <c r="E11" s="46">
        <v>5</v>
      </c>
      <c r="F11" s="46"/>
      <c r="G11" s="48"/>
    </row>
    <row r="12" spans="1:9" x14ac:dyDescent="0.25">
      <c r="A12" s="42"/>
      <c r="B12" s="43"/>
      <c r="C12" s="47" t="s">
        <v>9</v>
      </c>
      <c r="D12" s="43">
        <v>3500</v>
      </c>
      <c r="E12" s="43"/>
      <c r="F12" s="43"/>
      <c r="G12" s="44"/>
    </row>
    <row r="13" spans="1:9" x14ac:dyDescent="0.25">
      <c r="A13" s="45"/>
      <c r="B13" s="46" t="s">
        <v>200</v>
      </c>
      <c r="C13" s="47" t="s">
        <v>170</v>
      </c>
      <c r="D13" s="46">
        <v>4500</v>
      </c>
      <c r="E13" s="46"/>
      <c r="F13" s="46"/>
      <c r="G13" s="48"/>
    </row>
    <row r="14" spans="1:9" x14ac:dyDescent="0.25">
      <c r="A14" s="42"/>
      <c r="B14" s="43" t="s">
        <v>108</v>
      </c>
      <c r="C14" s="41" t="s">
        <v>9</v>
      </c>
      <c r="D14" s="43">
        <v>5660</v>
      </c>
      <c r="E14" s="43"/>
      <c r="F14" s="43"/>
      <c r="G14" s="44"/>
    </row>
    <row r="15" spans="1:9" x14ac:dyDescent="0.25">
      <c r="A15" s="45"/>
      <c r="B15" s="46" t="s">
        <v>97</v>
      </c>
      <c r="C15" s="47" t="s">
        <v>9</v>
      </c>
      <c r="D15" s="46">
        <v>6050</v>
      </c>
      <c r="E15" s="46"/>
      <c r="F15" s="46"/>
      <c r="G15" s="48"/>
    </row>
    <row r="16" spans="1:9" x14ac:dyDescent="0.25">
      <c r="A16" s="42"/>
      <c r="B16" s="43" t="s">
        <v>202</v>
      </c>
      <c r="C16" s="47" t="s">
        <v>170</v>
      </c>
      <c r="D16" s="43">
        <v>1840</v>
      </c>
      <c r="E16" s="43"/>
      <c r="F16" s="43"/>
      <c r="G16" s="44"/>
    </row>
    <row r="17" spans="1:7" x14ac:dyDescent="0.25">
      <c r="A17" s="45"/>
      <c r="B17" s="46" t="s">
        <v>201</v>
      </c>
      <c r="C17" s="47" t="s">
        <v>170</v>
      </c>
      <c r="D17" s="46">
        <v>1840</v>
      </c>
      <c r="E17" s="46"/>
      <c r="F17" s="46"/>
      <c r="G17" s="48"/>
    </row>
    <row r="18" spans="1:7" x14ac:dyDescent="0.25">
      <c r="A18" s="42"/>
      <c r="B18" s="43"/>
      <c r="C18" s="47"/>
      <c r="D18" s="43"/>
      <c r="E18" s="43"/>
      <c r="F18" s="43"/>
      <c r="G18" s="44"/>
    </row>
    <row r="19" spans="1:7" x14ac:dyDescent="0.25">
      <c r="A19" s="45"/>
      <c r="B19" s="46"/>
      <c r="C19" s="47"/>
      <c r="D19" s="46"/>
      <c r="E19" s="46"/>
      <c r="F19" s="46"/>
      <c r="G19" s="48"/>
    </row>
    <row r="20" spans="1:7" x14ac:dyDescent="0.25">
      <c r="A20" s="42"/>
      <c r="B20" s="43"/>
      <c r="C20" s="41"/>
      <c r="D20" s="43"/>
      <c r="E20" s="43"/>
      <c r="F20" s="43"/>
      <c r="G20" s="44"/>
    </row>
    <row r="21" spans="1:7" x14ac:dyDescent="0.25">
      <c r="A21" s="45"/>
      <c r="B21" s="46"/>
      <c r="C21" s="47"/>
      <c r="D21" s="46"/>
      <c r="E21" s="46"/>
      <c r="F21" s="46"/>
      <c r="G21" s="48"/>
    </row>
    <row r="22" spans="1:7" x14ac:dyDescent="0.25">
      <c r="A22" s="42"/>
      <c r="B22" s="43"/>
      <c r="C22" s="41"/>
      <c r="D22" s="43"/>
      <c r="E22" s="43"/>
      <c r="F22" s="43"/>
      <c r="G22" s="44"/>
    </row>
    <row r="23" spans="1:7" x14ac:dyDescent="0.25">
      <c r="A23" s="45"/>
      <c r="B23" s="46"/>
      <c r="C23" s="47"/>
      <c r="D23" s="46"/>
      <c r="E23" s="46"/>
      <c r="F23" s="46"/>
      <c r="G23" s="48"/>
    </row>
    <row r="24" spans="1:7" x14ac:dyDescent="0.25">
      <c r="A24" s="42"/>
      <c r="B24" s="43"/>
      <c r="C24" s="41"/>
      <c r="D24" s="43"/>
      <c r="E24" s="43"/>
      <c r="F24" s="43"/>
      <c r="G24" s="44"/>
    </row>
    <row r="25" spans="1:7" x14ac:dyDescent="0.25">
      <c r="A25" s="45"/>
      <c r="B25" s="46"/>
      <c r="C25" s="47"/>
      <c r="D25" s="46"/>
      <c r="E25" s="46"/>
      <c r="F25" s="46"/>
      <c r="G25" s="48"/>
    </row>
    <row r="26" spans="1:7" x14ac:dyDescent="0.25">
      <c r="A26" s="42"/>
      <c r="B26" s="43"/>
      <c r="C26" s="41"/>
      <c r="D26" s="43"/>
      <c r="E26" s="43"/>
      <c r="F26" s="43"/>
      <c r="G26" s="44"/>
    </row>
    <row r="27" spans="1:7" x14ac:dyDescent="0.25">
      <c r="A27" s="45"/>
      <c r="B27" s="46"/>
      <c r="C27" s="47"/>
      <c r="D27" s="46"/>
      <c r="E27" s="46"/>
      <c r="F27" s="46"/>
      <c r="G27" s="48"/>
    </row>
    <row r="28" spans="1:7" x14ac:dyDescent="0.25">
      <c r="A28" s="42"/>
      <c r="B28" s="43"/>
      <c r="C28" s="41"/>
      <c r="D28" s="43"/>
      <c r="E28" s="43"/>
      <c r="F28" s="43"/>
      <c r="G28" s="44"/>
    </row>
    <row r="29" spans="1:7" x14ac:dyDescent="0.25">
      <c r="A29" s="45"/>
      <c r="B29" s="46"/>
      <c r="C29" s="47"/>
      <c r="D29" s="46"/>
      <c r="E29" s="46"/>
      <c r="F29" s="46"/>
      <c r="G29" s="48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5"/>
      <c r="B31" s="46"/>
      <c r="C31" s="47"/>
      <c r="D31" s="46"/>
      <c r="E31" s="46"/>
      <c r="F31" s="46"/>
      <c r="G31" s="48"/>
    </row>
    <row r="32" spans="1:7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5"/>
      <c r="B44" s="46"/>
      <c r="C44" s="47"/>
      <c r="D44" s="46"/>
      <c r="E44" s="46"/>
      <c r="F44" s="46"/>
      <c r="G44" s="44"/>
    </row>
    <row r="45" spans="1:7" x14ac:dyDescent="0.25">
      <c r="A45" s="45"/>
      <c r="B45" s="46"/>
      <c r="C45" s="47"/>
      <c r="D45" s="46"/>
      <c r="E45" s="45"/>
      <c r="F45" s="46"/>
      <c r="G45" s="48"/>
    </row>
    <row r="46" spans="1:7" x14ac:dyDescent="0.25">
      <c r="A46" s="5" t="s">
        <v>41</v>
      </c>
      <c r="B46" s="6"/>
      <c r="C46" s="7"/>
      <c r="D46" s="6"/>
      <c r="E46" s="45"/>
      <c r="F46" s="46"/>
      <c r="G46" s="47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80" zoomScaleNormal="80" workbookViewId="0">
      <selection activeCell="B14" sqref="B14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195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118</v>
      </c>
      <c r="B5" s="27">
        <v>5040</v>
      </c>
      <c r="C5" s="27">
        <v>180</v>
      </c>
      <c r="D5" s="27">
        <f>'ESOFAGO 50.4GY'!$B5/'ESOFAGO 50.4GY'!$C5</f>
        <v>28</v>
      </c>
      <c r="E5" s="28">
        <v>1</v>
      </c>
      <c r="G5" s="72" t="s">
        <v>122</v>
      </c>
      <c r="H5" s="35"/>
    </row>
    <row r="6" spans="1:9" x14ac:dyDescent="0.25">
      <c r="I6" s="34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9" x14ac:dyDescent="0.25">
      <c r="A8" s="42" t="s">
        <v>33</v>
      </c>
      <c r="B8" s="43" t="s">
        <v>53</v>
      </c>
      <c r="C8" s="41" t="s">
        <v>3</v>
      </c>
      <c r="D8" s="43">
        <v>4939</v>
      </c>
      <c r="E8" s="43">
        <v>95</v>
      </c>
      <c r="F8" s="43"/>
      <c r="G8" s="44"/>
    </row>
    <row r="9" spans="1:9" x14ac:dyDescent="0.25">
      <c r="A9" s="45"/>
      <c r="B9" s="46"/>
      <c r="C9" s="47" t="s">
        <v>9</v>
      </c>
      <c r="D9" s="46">
        <v>5393</v>
      </c>
      <c r="E9" s="46"/>
      <c r="F9" s="46"/>
      <c r="G9" s="48"/>
    </row>
    <row r="10" spans="1:9" x14ac:dyDescent="0.25">
      <c r="A10" s="42" t="s">
        <v>37</v>
      </c>
      <c r="B10" s="43" t="s">
        <v>48</v>
      </c>
      <c r="C10" s="41" t="s">
        <v>7</v>
      </c>
      <c r="D10" s="43">
        <v>2000</v>
      </c>
      <c r="E10" s="43">
        <v>30</v>
      </c>
      <c r="F10" s="43">
        <v>2000</v>
      </c>
      <c r="G10" s="44">
        <v>35</v>
      </c>
    </row>
    <row r="11" spans="1:9" x14ac:dyDescent="0.25">
      <c r="A11" s="45"/>
      <c r="B11" s="46"/>
      <c r="C11" s="47" t="s">
        <v>7</v>
      </c>
      <c r="D11" s="46">
        <v>1000</v>
      </c>
      <c r="E11" s="46">
        <v>40</v>
      </c>
      <c r="F11" s="46">
        <v>1000</v>
      </c>
      <c r="G11" s="48">
        <v>45</v>
      </c>
    </row>
    <row r="12" spans="1:9" x14ac:dyDescent="0.25">
      <c r="A12" s="42"/>
      <c r="B12" s="43"/>
      <c r="C12" s="47" t="s">
        <v>7</v>
      </c>
      <c r="D12" s="43">
        <v>500</v>
      </c>
      <c r="E12" s="43">
        <v>50</v>
      </c>
      <c r="F12" s="43">
        <v>500</v>
      </c>
      <c r="G12" s="44">
        <v>55</v>
      </c>
    </row>
    <row r="13" spans="1:9" x14ac:dyDescent="0.25">
      <c r="A13" s="45"/>
      <c r="B13" s="46"/>
      <c r="C13" s="47" t="s">
        <v>8</v>
      </c>
      <c r="D13" s="46">
        <v>2000</v>
      </c>
      <c r="E13" s="46"/>
      <c r="F13" s="46"/>
      <c r="G13" s="48"/>
    </row>
    <row r="14" spans="1:9" x14ac:dyDescent="0.25">
      <c r="A14" s="42"/>
      <c r="B14" s="43" t="s">
        <v>49</v>
      </c>
      <c r="C14" s="41" t="s">
        <v>7</v>
      </c>
      <c r="D14" s="43">
        <v>2000</v>
      </c>
      <c r="E14" s="43">
        <v>30</v>
      </c>
      <c r="F14" s="43">
        <v>2000</v>
      </c>
      <c r="G14" s="44">
        <v>35</v>
      </c>
    </row>
    <row r="15" spans="1:9" x14ac:dyDescent="0.25">
      <c r="A15" s="45"/>
      <c r="B15" s="46"/>
      <c r="C15" s="47" t="s">
        <v>7</v>
      </c>
      <c r="D15" s="46">
        <v>1000</v>
      </c>
      <c r="E15" s="46">
        <v>40</v>
      </c>
      <c r="F15" s="46">
        <v>1000</v>
      </c>
      <c r="G15" s="48">
        <v>45</v>
      </c>
    </row>
    <row r="16" spans="1:9" x14ac:dyDescent="0.25">
      <c r="A16" s="42"/>
      <c r="B16" s="43"/>
      <c r="C16" s="47" t="s">
        <v>7</v>
      </c>
      <c r="D16" s="43">
        <v>500</v>
      </c>
      <c r="E16" s="43">
        <v>50</v>
      </c>
      <c r="F16" s="43">
        <v>500</v>
      </c>
      <c r="G16" s="44">
        <v>55</v>
      </c>
    </row>
    <row r="17" spans="1:7" x14ac:dyDescent="0.25">
      <c r="A17" s="45"/>
      <c r="B17" s="46"/>
      <c r="C17" s="47" t="s">
        <v>8</v>
      </c>
      <c r="D17" s="46">
        <v>2000</v>
      </c>
      <c r="E17" s="46"/>
      <c r="F17" s="46"/>
      <c r="G17" s="48"/>
    </row>
    <row r="18" spans="1:7" x14ac:dyDescent="0.25">
      <c r="A18" s="42"/>
      <c r="B18" s="43" t="s">
        <v>39</v>
      </c>
      <c r="C18" s="47" t="s">
        <v>8</v>
      </c>
      <c r="D18" s="43">
        <v>2600</v>
      </c>
      <c r="E18" s="43"/>
      <c r="F18" s="43">
        <v>3000</v>
      </c>
      <c r="G18" s="44"/>
    </row>
    <row r="19" spans="1:7" x14ac:dyDescent="0.25">
      <c r="A19" s="45"/>
      <c r="B19" s="46" t="s">
        <v>54</v>
      </c>
      <c r="C19" s="47" t="s">
        <v>9</v>
      </c>
      <c r="D19" s="46">
        <v>4500</v>
      </c>
      <c r="E19" s="46"/>
      <c r="F19" s="46"/>
      <c r="G19" s="48"/>
    </row>
    <row r="20" spans="1:7" x14ac:dyDescent="0.25">
      <c r="A20" s="42"/>
      <c r="B20" s="43" t="s">
        <v>56</v>
      </c>
      <c r="C20" s="41" t="s">
        <v>7</v>
      </c>
      <c r="D20" s="43">
        <v>4000</v>
      </c>
      <c r="E20" s="43">
        <v>50</v>
      </c>
      <c r="F20" s="43"/>
      <c r="G20" s="44"/>
    </row>
    <row r="21" spans="1:7" x14ac:dyDescent="0.25">
      <c r="A21" s="45"/>
      <c r="B21" s="46" t="s">
        <v>113</v>
      </c>
      <c r="C21" s="47" t="s">
        <v>8</v>
      </c>
      <c r="D21" s="46">
        <v>1800</v>
      </c>
      <c r="E21" s="46"/>
      <c r="F21" s="46"/>
      <c r="G21" s="48"/>
    </row>
    <row r="22" spans="1:7" x14ac:dyDescent="0.25">
      <c r="A22" s="42"/>
      <c r="B22" s="43"/>
      <c r="C22" s="41"/>
      <c r="D22" s="43"/>
      <c r="E22" s="43"/>
      <c r="F22" s="43"/>
      <c r="G22" s="44"/>
    </row>
    <row r="23" spans="1:7" x14ac:dyDescent="0.25">
      <c r="A23" s="45"/>
      <c r="B23" s="46"/>
      <c r="C23" s="47"/>
      <c r="D23" s="46"/>
      <c r="E23" s="46"/>
      <c r="F23" s="46"/>
      <c r="G23" s="48"/>
    </row>
    <row r="24" spans="1:7" x14ac:dyDescent="0.25">
      <c r="A24" s="42"/>
      <c r="B24" s="43"/>
      <c r="C24" s="41"/>
      <c r="D24" s="43"/>
      <c r="E24" s="43"/>
      <c r="F24" s="43"/>
      <c r="G24" s="44"/>
    </row>
    <row r="25" spans="1:7" x14ac:dyDescent="0.25">
      <c r="A25" s="45"/>
      <c r="B25" s="46"/>
      <c r="C25" s="47"/>
      <c r="D25" s="46"/>
      <c r="E25" s="46"/>
      <c r="F25" s="46"/>
      <c r="G25" s="48"/>
    </row>
    <row r="26" spans="1:7" x14ac:dyDescent="0.25">
      <c r="A26" s="42"/>
      <c r="B26" s="43"/>
      <c r="C26" s="41"/>
      <c r="D26" s="43"/>
      <c r="E26" s="43"/>
      <c r="F26" s="43"/>
      <c r="G26" s="44"/>
    </row>
    <row r="27" spans="1:7" x14ac:dyDescent="0.25">
      <c r="A27" s="45"/>
      <c r="B27" s="46"/>
      <c r="C27" s="47"/>
      <c r="D27" s="46"/>
      <c r="E27" s="46"/>
      <c r="F27" s="46"/>
      <c r="G27" s="48"/>
    </row>
    <row r="28" spans="1:7" x14ac:dyDescent="0.25">
      <c r="A28" s="42"/>
      <c r="B28" s="43"/>
      <c r="C28" s="41"/>
      <c r="D28" s="43"/>
      <c r="E28" s="43"/>
      <c r="F28" s="43"/>
      <c r="G28" s="44"/>
    </row>
    <row r="29" spans="1:7" x14ac:dyDescent="0.25">
      <c r="A29" s="45"/>
      <c r="B29" s="46"/>
      <c r="C29" s="47"/>
      <c r="D29" s="46"/>
      <c r="E29" s="46"/>
      <c r="F29" s="46"/>
      <c r="G29" s="48"/>
    </row>
    <row r="30" spans="1:7" x14ac:dyDescent="0.25">
      <c r="A30" s="42"/>
      <c r="B30" s="43"/>
      <c r="C30" s="41"/>
      <c r="D30" s="43"/>
      <c r="E30" s="43"/>
      <c r="F30" s="43"/>
      <c r="G30" s="44"/>
    </row>
    <row r="31" spans="1:7" x14ac:dyDescent="0.25">
      <c r="A31" s="45"/>
      <c r="B31" s="46"/>
      <c r="C31" s="47"/>
      <c r="D31" s="46"/>
      <c r="E31" s="46"/>
      <c r="F31" s="46"/>
      <c r="G31" s="48"/>
    </row>
    <row r="32" spans="1:7" x14ac:dyDescent="0.25">
      <c r="A32" s="42"/>
      <c r="B32" s="43"/>
      <c r="C32" s="41"/>
      <c r="D32" s="43"/>
      <c r="E32" s="43"/>
      <c r="F32" s="43"/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5"/>
      <c r="B44" s="46"/>
      <c r="C44" s="47"/>
      <c r="D44" s="46"/>
      <c r="E44" s="46"/>
      <c r="F44" s="46"/>
      <c r="G44" s="44"/>
    </row>
    <row r="45" spans="1:7" x14ac:dyDescent="0.25">
      <c r="A45" s="45"/>
      <c r="B45" s="46"/>
      <c r="C45" s="47"/>
      <c r="D45" s="46"/>
      <c r="E45" s="45"/>
      <c r="F45" s="46"/>
      <c r="G45" s="48"/>
    </row>
    <row r="46" spans="1:7" x14ac:dyDescent="0.25">
      <c r="A46" s="5" t="s">
        <v>41</v>
      </c>
      <c r="B46" s="6"/>
      <c r="C46" s="7"/>
      <c r="D46" s="6"/>
      <c r="E46" s="45"/>
      <c r="F46" s="46"/>
      <c r="G46" s="47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80" zoomScaleNormal="80" workbookViewId="0">
      <selection activeCell="C18" sqref="C18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205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91</v>
      </c>
      <c r="B5" s="27">
        <v>5000</v>
      </c>
      <c r="C5" s="27">
        <v>200</v>
      </c>
      <c r="D5" s="27">
        <f>'ESOFAGO 50GY'!$B5/'ESOFAGO 50GY'!$C5</f>
        <v>25</v>
      </c>
      <c r="E5" s="28">
        <v>1</v>
      </c>
      <c r="G5" s="72" t="s">
        <v>122</v>
      </c>
      <c r="H5" s="35"/>
    </row>
    <row r="6" spans="1:9" x14ac:dyDescent="0.25">
      <c r="I6" s="34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9" x14ac:dyDescent="0.25">
      <c r="A8" s="42" t="s">
        <v>33</v>
      </c>
      <c r="B8" s="43" t="s">
        <v>91</v>
      </c>
      <c r="C8" s="41" t="s">
        <v>3</v>
      </c>
      <c r="D8" s="43">
        <v>4900</v>
      </c>
      <c r="E8" s="43">
        <v>95</v>
      </c>
      <c r="F8" s="43"/>
      <c r="G8" s="44"/>
    </row>
    <row r="9" spans="1:9" x14ac:dyDescent="0.25">
      <c r="A9" s="45"/>
      <c r="B9" s="46"/>
      <c r="C9" s="47" t="s">
        <v>9</v>
      </c>
      <c r="D9" s="46">
        <v>5350</v>
      </c>
      <c r="E9" s="46"/>
      <c r="F9" s="46"/>
      <c r="G9" s="48"/>
    </row>
    <row r="10" spans="1:9" x14ac:dyDescent="0.25">
      <c r="A10" s="42" t="s">
        <v>37</v>
      </c>
      <c r="B10" s="43" t="s">
        <v>48</v>
      </c>
      <c r="C10" s="41" t="s">
        <v>7</v>
      </c>
      <c r="D10" s="43">
        <v>2000</v>
      </c>
      <c r="E10" s="43">
        <v>30</v>
      </c>
      <c r="F10" s="43">
        <v>2000</v>
      </c>
      <c r="G10" s="44">
        <v>35</v>
      </c>
    </row>
    <row r="11" spans="1:9" x14ac:dyDescent="0.25">
      <c r="A11" s="45"/>
      <c r="B11" s="46"/>
      <c r="C11" s="47" t="s">
        <v>7</v>
      </c>
      <c r="D11" s="46">
        <v>1000</v>
      </c>
      <c r="E11" s="46">
        <v>40</v>
      </c>
      <c r="F11" s="46">
        <v>1000</v>
      </c>
      <c r="G11" s="48">
        <v>45</v>
      </c>
    </row>
    <row r="12" spans="1:9" x14ac:dyDescent="0.25">
      <c r="A12" s="42"/>
      <c r="B12" s="43"/>
      <c r="C12" s="47" t="s">
        <v>7</v>
      </c>
      <c r="D12" s="43">
        <v>500</v>
      </c>
      <c r="E12" s="43">
        <v>50</v>
      </c>
      <c r="F12" s="43">
        <v>500</v>
      </c>
      <c r="G12" s="44">
        <v>55</v>
      </c>
    </row>
    <row r="13" spans="1:9" x14ac:dyDescent="0.25">
      <c r="A13" s="45"/>
      <c r="B13" s="46"/>
      <c r="C13" s="47" t="s">
        <v>8</v>
      </c>
      <c r="D13" s="46">
        <v>2000</v>
      </c>
      <c r="E13" s="46"/>
      <c r="F13" s="46"/>
      <c r="G13" s="48"/>
    </row>
    <row r="14" spans="1:9" x14ac:dyDescent="0.25">
      <c r="A14" s="42"/>
      <c r="B14" s="43" t="s">
        <v>49</v>
      </c>
      <c r="C14" s="41" t="s">
        <v>7</v>
      </c>
      <c r="D14" s="43">
        <v>2000</v>
      </c>
      <c r="E14" s="43">
        <v>30</v>
      </c>
      <c r="F14" s="43">
        <v>2000</v>
      </c>
      <c r="G14" s="44">
        <v>35</v>
      </c>
    </row>
    <row r="15" spans="1:9" x14ac:dyDescent="0.25">
      <c r="A15" s="45"/>
      <c r="B15" s="46"/>
      <c r="C15" s="47" t="s">
        <v>7</v>
      </c>
      <c r="D15" s="46">
        <v>1000</v>
      </c>
      <c r="E15" s="46">
        <v>40</v>
      </c>
      <c r="F15" s="46">
        <v>1000</v>
      </c>
      <c r="G15" s="48">
        <v>45</v>
      </c>
    </row>
    <row r="16" spans="1:9" x14ac:dyDescent="0.25">
      <c r="A16" s="42"/>
      <c r="B16" s="43"/>
      <c r="C16" s="47" t="s">
        <v>7</v>
      </c>
      <c r="D16" s="43">
        <v>500</v>
      </c>
      <c r="E16" s="43">
        <v>50</v>
      </c>
      <c r="F16" s="43">
        <v>500</v>
      </c>
      <c r="G16" s="44">
        <v>55</v>
      </c>
    </row>
    <row r="17" spans="1:7" x14ac:dyDescent="0.25">
      <c r="A17" s="45"/>
      <c r="B17" s="46"/>
      <c r="C17" s="47" t="s">
        <v>8</v>
      </c>
      <c r="D17" s="46">
        <v>2000</v>
      </c>
      <c r="E17" s="46"/>
      <c r="F17" s="46"/>
      <c r="G17" s="48"/>
    </row>
    <row r="18" spans="1:7" x14ac:dyDescent="0.25">
      <c r="A18" s="42"/>
      <c r="B18" s="43" t="s">
        <v>39</v>
      </c>
      <c r="C18" s="47" t="s">
        <v>8</v>
      </c>
      <c r="D18" s="43">
        <v>2600</v>
      </c>
      <c r="E18" s="43"/>
      <c r="F18" s="43">
        <v>3000</v>
      </c>
      <c r="G18" s="44"/>
    </row>
    <row r="19" spans="1:7" x14ac:dyDescent="0.25">
      <c r="A19" s="45"/>
      <c r="B19" s="46" t="s">
        <v>54</v>
      </c>
      <c r="C19" s="47" t="s">
        <v>9</v>
      </c>
      <c r="D19" s="46">
        <v>4500</v>
      </c>
      <c r="E19" s="46"/>
      <c r="F19" s="46"/>
      <c r="G19" s="48"/>
    </row>
    <row r="20" spans="1:7" x14ac:dyDescent="0.25">
      <c r="A20" s="42"/>
      <c r="B20" s="43" t="s">
        <v>56</v>
      </c>
      <c r="C20" s="41" t="s">
        <v>7</v>
      </c>
      <c r="D20" s="43">
        <v>4000</v>
      </c>
      <c r="E20" s="43">
        <v>50</v>
      </c>
      <c r="F20" s="43"/>
      <c r="G20" s="44"/>
    </row>
    <row r="21" spans="1:7" x14ac:dyDescent="0.25">
      <c r="A21" s="45"/>
      <c r="B21" s="46" t="s">
        <v>113</v>
      </c>
      <c r="C21" s="47" t="s">
        <v>8</v>
      </c>
      <c r="D21" s="46">
        <v>1800</v>
      </c>
      <c r="E21" s="46"/>
      <c r="F21" s="46"/>
      <c r="G21" s="48"/>
    </row>
    <row r="22" spans="1:7" x14ac:dyDescent="0.25">
      <c r="A22" s="42"/>
      <c r="B22" s="46" t="s">
        <v>55</v>
      </c>
      <c r="C22" s="47" t="s">
        <v>9</v>
      </c>
      <c r="D22" s="46">
        <v>4000</v>
      </c>
      <c r="E22" s="43"/>
      <c r="F22" s="43"/>
      <c r="G22" s="44"/>
    </row>
    <row r="23" spans="1:7" x14ac:dyDescent="0.25">
      <c r="A23" s="45"/>
      <c r="B23" s="46" t="s">
        <v>59</v>
      </c>
      <c r="C23" s="47" t="s">
        <v>9</v>
      </c>
      <c r="D23" s="46">
        <v>4000</v>
      </c>
      <c r="E23" s="46"/>
      <c r="F23" s="46"/>
      <c r="G23" s="48"/>
    </row>
    <row r="24" spans="1:7" x14ac:dyDescent="0.25">
      <c r="A24" s="42"/>
      <c r="B24" s="46" t="s">
        <v>44</v>
      </c>
      <c r="C24" s="47" t="s">
        <v>8</v>
      </c>
      <c r="D24" s="46">
        <v>2100</v>
      </c>
      <c r="E24" s="46"/>
      <c r="F24" s="43"/>
      <c r="G24" s="44"/>
    </row>
    <row r="25" spans="1:7" x14ac:dyDescent="0.25">
      <c r="A25" s="45"/>
      <c r="B25" s="43"/>
      <c r="C25" s="47" t="s">
        <v>7</v>
      </c>
      <c r="D25" s="43">
        <v>3000</v>
      </c>
      <c r="E25" s="43">
        <v>30</v>
      </c>
      <c r="F25" s="46"/>
      <c r="G25" s="48"/>
    </row>
    <row r="26" spans="1:7" x14ac:dyDescent="0.25">
      <c r="A26" s="42"/>
      <c r="B26" s="46" t="s">
        <v>206</v>
      </c>
      <c r="C26" s="47" t="s">
        <v>9</v>
      </c>
      <c r="D26" s="46">
        <v>4500</v>
      </c>
      <c r="E26" s="46"/>
      <c r="F26" s="43"/>
      <c r="G26" s="44"/>
    </row>
    <row r="27" spans="1:7" x14ac:dyDescent="0.25">
      <c r="A27" s="45"/>
      <c r="B27" s="46" t="s">
        <v>138</v>
      </c>
      <c r="C27" s="47" t="s">
        <v>7</v>
      </c>
      <c r="D27" s="46">
        <v>1800</v>
      </c>
      <c r="E27" s="46">
        <v>15</v>
      </c>
      <c r="F27" s="46"/>
      <c r="G27" s="48"/>
    </row>
    <row r="28" spans="1:7" x14ac:dyDescent="0.25">
      <c r="A28" s="42"/>
      <c r="B28" s="43"/>
      <c r="C28" s="41" t="s">
        <v>7</v>
      </c>
      <c r="D28" s="43">
        <v>1400</v>
      </c>
      <c r="E28" s="43">
        <v>30</v>
      </c>
      <c r="F28" s="43"/>
      <c r="G28" s="44"/>
    </row>
    <row r="29" spans="1:7" x14ac:dyDescent="0.25">
      <c r="A29" s="45"/>
      <c r="B29" s="43" t="s">
        <v>139</v>
      </c>
      <c r="C29" s="41" t="s">
        <v>7</v>
      </c>
      <c r="D29" s="43">
        <v>1800</v>
      </c>
      <c r="E29" s="43">
        <v>15</v>
      </c>
      <c r="F29" s="46"/>
      <c r="G29" s="48"/>
    </row>
    <row r="30" spans="1:7" x14ac:dyDescent="0.25">
      <c r="A30" s="42"/>
      <c r="B30" s="43"/>
      <c r="C30" s="41" t="s">
        <v>7</v>
      </c>
      <c r="D30" s="43">
        <v>1400</v>
      </c>
      <c r="E30" s="43">
        <v>30</v>
      </c>
      <c r="F30" s="43"/>
      <c r="G30" s="44"/>
    </row>
    <row r="31" spans="1:7" x14ac:dyDescent="0.25">
      <c r="A31" s="45"/>
      <c r="B31" s="46" t="s">
        <v>207</v>
      </c>
      <c r="C31" s="47" t="s">
        <v>7</v>
      </c>
      <c r="D31" s="46">
        <v>2000</v>
      </c>
      <c r="E31" s="46">
        <v>30</v>
      </c>
      <c r="F31" s="46">
        <v>2000</v>
      </c>
      <c r="G31" s="48">
        <v>35</v>
      </c>
    </row>
    <row r="32" spans="1:7" x14ac:dyDescent="0.25">
      <c r="A32" s="42"/>
      <c r="B32" s="43"/>
      <c r="C32" s="47" t="s">
        <v>8</v>
      </c>
      <c r="D32" s="46">
        <v>1500</v>
      </c>
      <c r="E32" s="43"/>
      <c r="F32" s="43">
        <v>1800</v>
      </c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5"/>
      <c r="B44" s="46"/>
      <c r="C44" s="47"/>
      <c r="D44" s="46"/>
      <c r="E44" s="46"/>
      <c r="F44" s="46"/>
      <c r="G44" s="44"/>
    </row>
    <row r="45" spans="1:7" x14ac:dyDescent="0.25">
      <c r="A45" s="45"/>
      <c r="B45" s="46"/>
      <c r="C45" s="47"/>
      <c r="D45" s="46"/>
      <c r="E45" s="45"/>
      <c r="F45" s="46"/>
      <c r="G45" s="48"/>
    </row>
    <row r="46" spans="1:7" x14ac:dyDescent="0.25">
      <c r="A46" s="5" t="s">
        <v>41</v>
      </c>
      <c r="B46" s="6"/>
      <c r="C46" s="7"/>
      <c r="D46" s="6"/>
      <c r="E46" s="45"/>
      <c r="F46" s="46"/>
      <c r="G46" s="47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4" zoomScale="110" zoomScaleNormal="110" workbookViewId="0">
      <selection activeCell="B17" sqref="B17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218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91</v>
      </c>
      <c r="B5" s="27">
        <v>4140</v>
      </c>
      <c r="C5" s="27">
        <v>180</v>
      </c>
      <c r="D5" s="27">
        <f>'ESOFAGO CROSS'!$B5/'ESOFAGO CROSS'!$C5</f>
        <v>23</v>
      </c>
      <c r="E5" s="28">
        <v>1</v>
      </c>
      <c r="G5" s="72" t="s">
        <v>122</v>
      </c>
      <c r="H5" s="35"/>
    </row>
    <row r="6" spans="1:9" x14ac:dyDescent="0.25">
      <c r="I6" s="34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9" x14ac:dyDescent="0.25">
      <c r="A8" s="42" t="s">
        <v>33</v>
      </c>
      <c r="B8" s="43" t="s">
        <v>91</v>
      </c>
      <c r="C8" s="41" t="s">
        <v>3</v>
      </c>
      <c r="D8" s="43">
        <v>4057</v>
      </c>
      <c r="E8" s="43">
        <v>95</v>
      </c>
      <c r="F8" s="43"/>
      <c r="G8" s="44"/>
    </row>
    <row r="9" spans="1:9" x14ac:dyDescent="0.25">
      <c r="A9" s="45"/>
      <c r="B9" s="46"/>
      <c r="C9" s="47" t="s">
        <v>9</v>
      </c>
      <c r="D9" s="46">
        <v>4430</v>
      </c>
      <c r="E9" s="46"/>
      <c r="F9" s="46"/>
      <c r="G9" s="48"/>
    </row>
    <row r="10" spans="1:9" x14ac:dyDescent="0.25">
      <c r="A10" s="42" t="s">
        <v>37</v>
      </c>
      <c r="B10" s="43" t="s">
        <v>48</v>
      </c>
      <c r="C10" s="41" t="s">
        <v>7</v>
      </c>
      <c r="D10" s="43">
        <v>2000</v>
      </c>
      <c r="E10" s="43">
        <v>25</v>
      </c>
      <c r="F10" s="43">
        <v>2000</v>
      </c>
      <c r="G10" s="44">
        <v>35</v>
      </c>
    </row>
    <row r="11" spans="1:9" x14ac:dyDescent="0.25">
      <c r="A11" s="45"/>
      <c r="B11" s="46"/>
      <c r="C11" s="47" t="s">
        <v>7</v>
      </c>
      <c r="D11" s="46">
        <v>1000</v>
      </c>
      <c r="E11" s="46">
        <v>40</v>
      </c>
      <c r="F11" s="46">
        <v>1000</v>
      </c>
      <c r="G11" s="48">
        <v>45</v>
      </c>
    </row>
    <row r="12" spans="1:9" x14ac:dyDescent="0.25">
      <c r="A12" s="42"/>
      <c r="B12" s="43"/>
      <c r="C12" s="47" t="s">
        <v>7</v>
      </c>
      <c r="D12" s="43">
        <v>500</v>
      </c>
      <c r="E12" s="43">
        <v>50</v>
      </c>
      <c r="F12" s="43">
        <v>500</v>
      </c>
      <c r="G12" s="44">
        <v>55</v>
      </c>
    </row>
    <row r="13" spans="1:9" x14ac:dyDescent="0.25">
      <c r="A13" s="45"/>
      <c r="B13" s="46"/>
      <c r="C13" s="47" t="s">
        <v>8</v>
      </c>
      <c r="D13" s="46">
        <v>2000</v>
      </c>
      <c r="E13" s="46"/>
      <c r="F13" s="46"/>
      <c r="G13" s="48"/>
    </row>
    <row r="14" spans="1:9" x14ac:dyDescent="0.25">
      <c r="A14" s="42"/>
      <c r="B14" s="43" t="s">
        <v>49</v>
      </c>
      <c r="C14" s="41" t="s">
        <v>7</v>
      </c>
      <c r="D14" s="43">
        <v>2000</v>
      </c>
      <c r="E14" s="43">
        <v>25</v>
      </c>
      <c r="F14" s="43">
        <v>2000</v>
      </c>
      <c r="G14" s="44">
        <v>35</v>
      </c>
    </row>
    <row r="15" spans="1:9" x14ac:dyDescent="0.25">
      <c r="A15" s="45"/>
      <c r="B15" s="46"/>
      <c r="C15" s="47" t="s">
        <v>7</v>
      </c>
      <c r="D15" s="46">
        <v>1000</v>
      </c>
      <c r="E15" s="46">
        <v>40</v>
      </c>
      <c r="F15" s="46">
        <v>1000</v>
      </c>
      <c r="G15" s="48">
        <v>45</v>
      </c>
    </row>
    <row r="16" spans="1:9" x14ac:dyDescent="0.25">
      <c r="A16" s="42"/>
      <c r="B16" s="43"/>
      <c r="C16" s="47" t="s">
        <v>7</v>
      </c>
      <c r="D16" s="43">
        <v>500</v>
      </c>
      <c r="E16" s="43">
        <v>50</v>
      </c>
      <c r="F16" s="43">
        <v>500</v>
      </c>
      <c r="G16" s="44">
        <v>55</v>
      </c>
    </row>
    <row r="17" spans="1:7" x14ac:dyDescent="0.25">
      <c r="A17" s="45"/>
      <c r="B17" s="46"/>
      <c r="C17" s="47" t="s">
        <v>8</v>
      </c>
      <c r="D17" s="46">
        <v>2000</v>
      </c>
      <c r="E17" s="46"/>
      <c r="F17" s="46"/>
      <c r="G17" s="48"/>
    </row>
    <row r="18" spans="1:7" x14ac:dyDescent="0.25">
      <c r="A18" s="42"/>
      <c r="B18" s="43" t="s">
        <v>39</v>
      </c>
      <c r="C18" s="47" t="s">
        <v>8</v>
      </c>
      <c r="D18" s="43">
        <v>2600</v>
      </c>
      <c r="E18" s="43"/>
      <c r="F18" s="43">
        <v>3000</v>
      </c>
      <c r="G18" s="44"/>
    </row>
    <row r="19" spans="1:7" x14ac:dyDescent="0.25">
      <c r="A19" s="45"/>
      <c r="B19" s="46" t="s">
        <v>54</v>
      </c>
      <c r="C19" s="47" t="s">
        <v>9</v>
      </c>
      <c r="D19" s="46">
        <v>4500</v>
      </c>
      <c r="E19" s="46"/>
      <c r="F19" s="46"/>
      <c r="G19" s="48"/>
    </row>
    <row r="20" spans="1:7" x14ac:dyDescent="0.25">
      <c r="A20" s="42"/>
      <c r="B20" s="43" t="s">
        <v>56</v>
      </c>
      <c r="C20" s="41" t="s">
        <v>7</v>
      </c>
      <c r="D20" s="43">
        <v>4000</v>
      </c>
      <c r="E20" s="43">
        <v>50</v>
      </c>
      <c r="F20" s="43"/>
      <c r="G20" s="44"/>
    </row>
    <row r="21" spans="1:7" x14ac:dyDescent="0.25">
      <c r="A21" s="45"/>
      <c r="B21" s="46" t="s">
        <v>113</v>
      </c>
      <c r="C21" s="47" t="s">
        <v>8</v>
      </c>
      <c r="D21" s="46">
        <v>1800</v>
      </c>
      <c r="E21" s="46"/>
      <c r="F21" s="46"/>
      <c r="G21" s="48"/>
    </row>
    <row r="22" spans="1:7" x14ac:dyDescent="0.25">
      <c r="A22" s="42"/>
      <c r="B22" s="46" t="s">
        <v>55</v>
      </c>
      <c r="C22" s="47" t="s">
        <v>9</v>
      </c>
      <c r="D22" s="46">
        <v>4000</v>
      </c>
      <c r="E22" s="43"/>
      <c r="F22" s="43"/>
      <c r="G22" s="44"/>
    </row>
    <row r="23" spans="1:7" x14ac:dyDescent="0.25">
      <c r="A23" s="45"/>
      <c r="B23" s="46" t="s">
        <v>59</v>
      </c>
      <c r="C23" s="47" t="s">
        <v>9</v>
      </c>
      <c r="D23" s="46">
        <v>4000</v>
      </c>
      <c r="E23" s="46"/>
      <c r="F23" s="46"/>
      <c r="G23" s="48"/>
    </row>
    <row r="24" spans="1:7" x14ac:dyDescent="0.25">
      <c r="A24" s="42"/>
      <c r="B24" s="46" t="s">
        <v>44</v>
      </c>
      <c r="C24" s="47" t="s">
        <v>8</v>
      </c>
      <c r="D24" s="46">
        <v>2100</v>
      </c>
      <c r="E24" s="46"/>
      <c r="F24" s="43"/>
      <c r="G24" s="44"/>
    </row>
    <row r="25" spans="1:7" x14ac:dyDescent="0.25">
      <c r="A25" s="45"/>
      <c r="B25" s="43"/>
      <c r="C25" s="47" t="s">
        <v>7</v>
      </c>
      <c r="D25" s="43">
        <v>3000</v>
      </c>
      <c r="E25" s="43">
        <v>30</v>
      </c>
      <c r="F25" s="46"/>
      <c r="G25" s="48"/>
    </row>
    <row r="26" spans="1:7" x14ac:dyDescent="0.25">
      <c r="A26" s="42"/>
      <c r="B26" s="46" t="s">
        <v>206</v>
      </c>
      <c r="C26" s="47" t="s">
        <v>9</v>
      </c>
      <c r="D26" s="46">
        <v>4140</v>
      </c>
      <c r="E26" s="46"/>
      <c r="F26" s="43">
        <v>4500</v>
      </c>
      <c r="G26" s="44"/>
    </row>
    <row r="27" spans="1:7" x14ac:dyDescent="0.25">
      <c r="A27" s="45"/>
      <c r="B27" s="46" t="s">
        <v>138</v>
      </c>
      <c r="C27" s="47" t="s">
        <v>7</v>
      </c>
      <c r="D27" s="46">
        <v>1800</v>
      </c>
      <c r="E27" s="46">
        <v>15</v>
      </c>
      <c r="F27" s="46"/>
      <c r="G27" s="48"/>
    </row>
    <row r="28" spans="1:7" x14ac:dyDescent="0.25">
      <c r="A28" s="42"/>
      <c r="B28" s="43"/>
      <c r="C28" s="41" t="s">
        <v>7</v>
      </c>
      <c r="D28" s="43">
        <v>1400</v>
      </c>
      <c r="E28" s="43">
        <v>30</v>
      </c>
      <c r="F28" s="43"/>
      <c r="G28" s="44"/>
    </row>
    <row r="29" spans="1:7" x14ac:dyDescent="0.25">
      <c r="A29" s="45"/>
      <c r="B29" s="43" t="s">
        <v>139</v>
      </c>
      <c r="C29" s="41" t="s">
        <v>7</v>
      </c>
      <c r="D29" s="43">
        <v>1800</v>
      </c>
      <c r="E29" s="43">
        <v>15</v>
      </c>
      <c r="F29" s="46"/>
      <c r="G29" s="48"/>
    </row>
    <row r="30" spans="1:7" x14ac:dyDescent="0.25">
      <c r="A30" s="42"/>
      <c r="B30" s="43"/>
      <c r="C30" s="41" t="s">
        <v>7</v>
      </c>
      <c r="D30" s="43">
        <v>1400</v>
      </c>
      <c r="E30" s="43">
        <v>30</v>
      </c>
      <c r="F30" s="43"/>
      <c r="G30" s="44"/>
    </row>
    <row r="31" spans="1:7" x14ac:dyDescent="0.25">
      <c r="A31" s="45"/>
      <c r="B31" s="46" t="s">
        <v>207</v>
      </c>
      <c r="C31" s="47" t="s">
        <v>7</v>
      </c>
      <c r="D31" s="46">
        <v>2000</v>
      </c>
      <c r="E31" s="46">
        <v>30</v>
      </c>
      <c r="F31" s="46">
        <v>2000</v>
      </c>
      <c r="G31" s="48">
        <v>35</v>
      </c>
    </row>
    <row r="32" spans="1:7" x14ac:dyDescent="0.25">
      <c r="A32" s="42"/>
      <c r="B32" s="43"/>
      <c r="C32" s="47" t="s">
        <v>8</v>
      </c>
      <c r="D32" s="46">
        <v>1500</v>
      </c>
      <c r="E32" s="43"/>
      <c r="F32" s="43">
        <v>1800</v>
      </c>
      <c r="G32" s="44"/>
    </row>
    <row r="33" spans="1:7" x14ac:dyDescent="0.25">
      <c r="A33" s="45"/>
      <c r="B33" s="46"/>
      <c r="C33" s="47"/>
      <c r="D33" s="46"/>
      <c r="E33" s="46"/>
      <c r="F33" s="46"/>
      <c r="G33" s="48"/>
    </row>
    <row r="34" spans="1:7" x14ac:dyDescent="0.25">
      <c r="A34" s="42"/>
      <c r="B34" s="43"/>
      <c r="C34" s="41"/>
      <c r="D34" s="43"/>
      <c r="E34" s="43"/>
      <c r="F34" s="43"/>
      <c r="G34" s="44"/>
    </row>
    <row r="35" spans="1:7" x14ac:dyDescent="0.25">
      <c r="A35" s="45"/>
      <c r="B35" s="46"/>
      <c r="C35" s="47"/>
      <c r="D35" s="46"/>
      <c r="E35" s="46"/>
      <c r="F35" s="46"/>
      <c r="G35" s="48"/>
    </row>
    <row r="36" spans="1:7" x14ac:dyDescent="0.25">
      <c r="A36" s="42"/>
      <c r="B36" s="43"/>
      <c r="C36" s="41"/>
      <c r="D36" s="43"/>
      <c r="E36" s="43"/>
      <c r="F36" s="43"/>
      <c r="G36" s="44"/>
    </row>
    <row r="37" spans="1:7" x14ac:dyDescent="0.25">
      <c r="A37" s="45"/>
      <c r="B37" s="46"/>
      <c r="C37" s="47"/>
      <c r="D37" s="46"/>
      <c r="E37" s="46"/>
      <c r="F37" s="46"/>
      <c r="G37" s="48"/>
    </row>
    <row r="38" spans="1:7" x14ac:dyDescent="0.25">
      <c r="A38" s="42"/>
      <c r="B38" s="43"/>
      <c r="C38" s="41"/>
      <c r="D38" s="43"/>
      <c r="E38" s="43"/>
      <c r="F38" s="43"/>
      <c r="G38" s="44"/>
    </row>
    <row r="39" spans="1:7" x14ac:dyDescent="0.25">
      <c r="A39" s="45"/>
      <c r="B39" s="46"/>
      <c r="C39" s="47"/>
      <c r="D39" s="46"/>
      <c r="E39" s="46"/>
      <c r="F39" s="46"/>
      <c r="G39" s="48"/>
    </row>
    <row r="40" spans="1:7" x14ac:dyDescent="0.25">
      <c r="A40" s="42"/>
      <c r="B40" s="43"/>
      <c r="C40" s="41"/>
      <c r="D40" s="43"/>
      <c r="E40" s="43"/>
      <c r="F40" s="43"/>
      <c r="G40" s="44"/>
    </row>
    <row r="41" spans="1:7" x14ac:dyDescent="0.25">
      <c r="A41" s="45"/>
      <c r="B41" s="46"/>
      <c r="C41" s="47"/>
      <c r="D41" s="46"/>
      <c r="E41" s="46"/>
      <c r="F41" s="46"/>
      <c r="G41" s="48"/>
    </row>
    <row r="42" spans="1:7" x14ac:dyDescent="0.25">
      <c r="A42" s="42"/>
      <c r="B42" s="43"/>
      <c r="C42" s="41"/>
      <c r="D42" s="43"/>
      <c r="E42" s="43"/>
      <c r="F42" s="43"/>
      <c r="G42" s="44"/>
    </row>
    <row r="43" spans="1:7" x14ac:dyDescent="0.25">
      <c r="A43" s="45"/>
      <c r="B43" s="46"/>
      <c r="C43" s="47"/>
      <c r="D43" s="46"/>
      <c r="E43" s="46"/>
      <c r="F43" s="46"/>
      <c r="G43" s="48"/>
    </row>
    <row r="44" spans="1:7" x14ac:dyDescent="0.25">
      <c r="A44" s="45"/>
      <c r="B44" s="46"/>
      <c r="C44" s="47"/>
      <c r="D44" s="46"/>
      <c r="E44" s="46"/>
      <c r="F44" s="46"/>
      <c r="G44" s="44"/>
    </row>
    <row r="45" spans="1:7" x14ac:dyDescent="0.25">
      <c r="A45" s="45"/>
      <c r="B45" s="46"/>
      <c r="C45" s="47"/>
      <c r="D45" s="46"/>
      <c r="E45" s="45"/>
      <c r="F45" s="46"/>
      <c r="G45" s="48"/>
    </row>
    <row r="46" spans="1:7" x14ac:dyDescent="0.25">
      <c r="A46" s="5" t="s">
        <v>41</v>
      </c>
      <c r="B46" s="6"/>
      <c r="C46" s="7"/>
      <c r="D46" s="6"/>
      <c r="E46" s="45"/>
      <c r="F46" s="46"/>
      <c r="G46" s="47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17" zoomScale="80" zoomScaleNormal="80" workbookViewId="0">
      <selection activeCell="D41" sqref="D41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192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118</v>
      </c>
      <c r="B5" s="27">
        <v>5040</v>
      </c>
      <c r="C5" s="27">
        <v>180</v>
      </c>
      <c r="D5" s="27">
        <f>'PULMON 50GY'!$B5/'PULMON 50GY'!$C5</f>
        <v>28</v>
      </c>
      <c r="E5" s="28">
        <v>1</v>
      </c>
      <c r="G5" s="72" t="s">
        <v>163</v>
      </c>
      <c r="H5" s="35"/>
    </row>
    <row r="6" spans="1:9" x14ac:dyDescent="0.25">
      <c r="I6" s="34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9" x14ac:dyDescent="0.25">
      <c r="A8" s="42" t="s">
        <v>33</v>
      </c>
      <c r="B8" s="43" t="s">
        <v>91</v>
      </c>
      <c r="C8" s="41" t="s">
        <v>3</v>
      </c>
      <c r="D8" s="43">
        <v>4750</v>
      </c>
      <c r="E8" s="43">
        <v>95</v>
      </c>
      <c r="F8" s="43">
        <v>4500</v>
      </c>
      <c r="G8" s="44">
        <v>95</v>
      </c>
    </row>
    <row r="9" spans="1:9" x14ac:dyDescent="0.25">
      <c r="A9" s="45"/>
      <c r="B9" s="46"/>
      <c r="C9" s="47" t="s">
        <v>9</v>
      </c>
      <c r="D9" s="46">
        <v>5750</v>
      </c>
      <c r="E9" s="46"/>
      <c r="F9" s="46">
        <v>6250</v>
      </c>
      <c r="G9" s="48"/>
    </row>
    <row r="10" spans="1:9" x14ac:dyDescent="0.25">
      <c r="A10" s="42" t="s">
        <v>37</v>
      </c>
      <c r="B10" s="43" t="s">
        <v>164</v>
      </c>
      <c r="C10" s="41" t="s">
        <v>10</v>
      </c>
      <c r="D10" s="43">
        <v>2100</v>
      </c>
      <c r="E10" s="43">
        <v>0.5</v>
      </c>
      <c r="F10" s="43">
        <v>3200</v>
      </c>
      <c r="G10" s="44">
        <v>0.5</v>
      </c>
    </row>
    <row r="11" spans="1:9" x14ac:dyDescent="0.25">
      <c r="A11" s="45"/>
      <c r="B11" s="46"/>
      <c r="C11" s="47" t="s">
        <v>9</v>
      </c>
      <c r="D11" s="46">
        <v>3300</v>
      </c>
      <c r="E11" s="46"/>
      <c r="F11" s="46">
        <v>4000</v>
      </c>
      <c r="G11" s="48"/>
    </row>
    <row r="12" spans="1:9" x14ac:dyDescent="0.25">
      <c r="A12" s="42"/>
      <c r="B12" s="43" t="s">
        <v>57</v>
      </c>
      <c r="C12" s="47" t="s">
        <v>9</v>
      </c>
      <c r="D12" s="46">
        <v>3500</v>
      </c>
      <c r="E12" s="46"/>
      <c r="F12" s="46"/>
      <c r="G12" s="48"/>
    </row>
    <row r="13" spans="1:9" x14ac:dyDescent="0.25">
      <c r="A13" s="45"/>
      <c r="B13" s="46"/>
      <c r="C13" s="41" t="s">
        <v>10</v>
      </c>
      <c r="D13" s="43">
        <v>3200</v>
      </c>
      <c r="E13" s="43">
        <v>0.5</v>
      </c>
      <c r="F13" s="43"/>
      <c r="G13" s="44"/>
    </row>
    <row r="14" spans="1:9" x14ac:dyDescent="0.25">
      <c r="A14" s="42"/>
      <c r="B14" s="43"/>
      <c r="C14" s="41" t="s">
        <v>10</v>
      </c>
      <c r="D14" s="43">
        <v>2750</v>
      </c>
      <c r="E14" s="43">
        <v>5</v>
      </c>
      <c r="F14" s="43"/>
      <c r="G14" s="44"/>
    </row>
    <row r="15" spans="1:9" x14ac:dyDescent="0.25">
      <c r="A15" s="45"/>
      <c r="B15" s="46"/>
      <c r="C15" s="41" t="s">
        <v>10</v>
      </c>
      <c r="D15" s="43">
        <v>1950</v>
      </c>
      <c r="E15" s="43">
        <v>10</v>
      </c>
      <c r="F15" s="43"/>
      <c r="G15" s="44"/>
    </row>
    <row r="16" spans="1:9" x14ac:dyDescent="0.25">
      <c r="A16" s="42"/>
      <c r="B16" s="43" t="s">
        <v>165</v>
      </c>
      <c r="C16" s="47" t="s">
        <v>9</v>
      </c>
      <c r="D16" s="46">
        <v>3800</v>
      </c>
      <c r="E16" s="46"/>
      <c r="F16" s="46"/>
      <c r="G16" s="48"/>
    </row>
    <row r="17" spans="1:7" x14ac:dyDescent="0.25">
      <c r="A17" s="45"/>
      <c r="B17" s="46"/>
      <c r="C17" s="41" t="s">
        <v>10</v>
      </c>
      <c r="D17" s="43">
        <v>4500</v>
      </c>
      <c r="E17" s="43">
        <v>5</v>
      </c>
      <c r="F17" s="43"/>
      <c r="G17" s="44"/>
    </row>
    <row r="18" spans="1:7" x14ac:dyDescent="0.25">
      <c r="A18" s="42"/>
      <c r="B18" s="43"/>
      <c r="C18" s="115" t="s">
        <v>10</v>
      </c>
      <c r="D18" s="116">
        <v>1650</v>
      </c>
      <c r="E18" s="116">
        <v>4</v>
      </c>
      <c r="F18" s="43"/>
      <c r="G18" s="44"/>
    </row>
    <row r="19" spans="1:7" x14ac:dyDescent="0.25">
      <c r="A19" s="45"/>
      <c r="B19" s="46" t="s">
        <v>166</v>
      </c>
      <c r="C19" s="47" t="s">
        <v>9</v>
      </c>
      <c r="D19" s="46">
        <v>5250</v>
      </c>
      <c r="E19" s="46"/>
      <c r="F19" s="46"/>
      <c r="G19" s="48"/>
    </row>
    <row r="20" spans="1:7" x14ac:dyDescent="0.25">
      <c r="A20" s="42"/>
      <c r="B20" s="43"/>
      <c r="C20" s="41" t="s">
        <v>10</v>
      </c>
      <c r="D20" s="43">
        <v>4700</v>
      </c>
      <c r="E20" s="43">
        <v>10</v>
      </c>
      <c r="F20" s="43"/>
      <c r="G20" s="44"/>
    </row>
    <row r="21" spans="1:7" x14ac:dyDescent="0.25">
      <c r="A21" s="45"/>
      <c r="B21" s="43" t="s">
        <v>167</v>
      </c>
      <c r="C21" s="47" t="s">
        <v>9</v>
      </c>
      <c r="D21" s="46">
        <v>5250</v>
      </c>
      <c r="E21" s="46"/>
      <c r="F21" s="46"/>
      <c r="G21" s="48"/>
    </row>
    <row r="22" spans="1:7" x14ac:dyDescent="0.25">
      <c r="A22" s="42"/>
      <c r="B22" s="43"/>
      <c r="C22" s="41" t="s">
        <v>10</v>
      </c>
      <c r="D22" s="43">
        <v>4700</v>
      </c>
      <c r="E22" s="43">
        <v>10</v>
      </c>
      <c r="F22" s="43"/>
      <c r="G22" s="44"/>
    </row>
    <row r="23" spans="1:7" x14ac:dyDescent="0.25">
      <c r="A23" s="45"/>
      <c r="B23" s="46" t="s">
        <v>168</v>
      </c>
      <c r="C23" s="47" t="s">
        <v>9</v>
      </c>
      <c r="D23" s="46">
        <v>5250</v>
      </c>
      <c r="E23" s="46"/>
      <c r="F23" s="46"/>
      <c r="G23" s="48"/>
    </row>
    <row r="24" spans="1:7" x14ac:dyDescent="0.25">
      <c r="A24" s="42"/>
      <c r="B24" s="43"/>
      <c r="C24" s="41" t="s">
        <v>10</v>
      </c>
      <c r="D24" s="43">
        <v>4700</v>
      </c>
      <c r="E24" s="43">
        <v>10</v>
      </c>
      <c r="F24" s="43"/>
      <c r="G24" s="44"/>
    </row>
    <row r="25" spans="1:7" x14ac:dyDescent="0.25">
      <c r="A25" s="45"/>
      <c r="B25" s="46" t="s">
        <v>39</v>
      </c>
      <c r="C25" s="47" t="s">
        <v>9</v>
      </c>
      <c r="D25" s="46">
        <v>2900</v>
      </c>
      <c r="E25" s="46"/>
      <c r="F25" s="46"/>
      <c r="G25" s="48"/>
    </row>
    <row r="26" spans="1:7" x14ac:dyDescent="0.25">
      <c r="A26" s="42"/>
      <c r="B26" s="43"/>
      <c r="C26" s="41" t="s">
        <v>10</v>
      </c>
      <c r="D26" s="43">
        <v>3200</v>
      </c>
      <c r="E26" s="43">
        <v>15</v>
      </c>
      <c r="F26" s="43"/>
      <c r="G26" s="44"/>
    </row>
    <row r="27" spans="1:7" x14ac:dyDescent="0.25">
      <c r="A27" s="45"/>
      <c r="B27" s="46" t="s">
        <v>97</v>
      </c>
      <c r="C27" s="47" t="s">
        <v>9</v>
      </c>
      <c r="D27" s="46">
        <v>3850</v>
      </c>
      <c r="E27" s="46"/>
      <c r="F27" s="46"/>
      <c r="G27" s="48"/>
    </row>
    <row r="28" spans="1:7" x14ac:dyDescent="0.25">
      <c r="A28" s="42"/>
      <c r="B28" s="43"/>
      <c r="C28" s="41" t="s">
        <v>10</v>
      </c>
      <c r="D28" s="43">
        <v>3000</v>
      </c>
      <c r="E28" s="43">
        <v>10</v>
      </c>
      <c r="F28" s="43">
        <v>3650</v>
      </c>
      <c r="G28" s="44">
        <v>10</v>
      </c>
    </row>
    <row r="29" spans="1:7" x14ac:dyDescent="0.25">
      <c r="A29" s="45"/>
      <c r="B29" s="46" t="s">
        <v>54</v>
      </c>
      <c r="C29" s="47" t="s">
        <v>9</v>
      </c>
      <c r="D29" s="46">
        <v>2530</v>
      </c>
      <c r="E29" s="46"/>
      <c r="F29" s="46">
        <v>3000</v>
      </c>
      <c r="G29" s="48"/>
    </row>
    <row r="30" spans="1:7" x14ac:dyDescent="0.25">
      <c r="A30" s="42"/>
      <c r="B30" s="43"/>
      <c r="C30" s="41" t="s">
        <v>10</v>
      </c>
      <c r="D30" s="43">
        <v>2250</v>
      </c>
      <c r="E30" s="43">
        <v>0.25</v>
      </c>
      <c r="F30" s="43"/>
      <c r="G30" s="44"/>
    </row>
    <row r="31" spans="1:7" x14ac:dyDescent="0.25">
      <c r="A31" s="45"/>
      <c r="B31" s="46" t="s">
        <v>169</v>
      </c>
      <c r="C31" s="41" t="s">
        <v>10</v>
      </c>
      <c r="D31" s="46">
        <v>1250</v>
      </c>
      <c r="E31" s="46">
        <v>950</v>
      </c>
      <c r="F31" s="46"/>
      <c r="G31" s="48"/>
    </row>
    <row r="32" spans="1:7" x14ac:dyDescent="0.25">
      <c r="A32" s="42"/>
      <c r="B32" s="43"/>
      <c r="C32" s="41" t="s">
        <v>7</v>
      </c>
      <c r="D32" s="43">
        <v>2000</v>
      </c>
      <c r="E32" s="43">
        <v>10</v>
      </c>
      <c r="F32" s="43">
        <v>2000</v>
      </c>
      <c r="G32" s="44">
        <v>15</v>
      </c>
    </row>
    <row r="33" spans="1:7" x14ac:dyDescent="0.25">
      <c r="A33" s="45"/>
      <c r="B33" s="46"/>
      <c r="C33" s="47" t="s">
        <v>170</v>
      </c>
      <c r="D33" s="46">
        <v>800</v>
      </c>
      <c r="E33" s="46"/>
      <c r="F33" s="46"/>
      <c r="G33" s="48"/>
    </row>
    <row r="34" spans="1:7" x14ac:dyDescent="0.25">
      <c r="A34" s="42"/>
      <c r="B34" s="43" t="s">
        <v>171</v>
      </c>
      <c r="C34" s="41" t="s">
        <v>9</v>
      </c>
      <c r="D34" s="43">
        <v>4300</v>
      </c>
      <c r="E34" s="43"/>
      <c r="F34" s="43">
        <v>5700</v>
      </c>
      <c r="G34" s="44"/>
    </row>
    <row r="35" spans="1:7" x14ac:dyDescent="0.25">
      <c r="A35" s="45"/>
      <c r="B35" s="46"/>
      <c r="C35" s="41" t="s">
        <v>10</v>
      </c>
      <c r="D35" s="46">
        <v>3500</v>
      </c>
      <c r="E35" s="46">
        <v>1</v>
      </c>
      <c r="F35" s="46"/>
      <c r="G35" s="48"/>
    </row>
    <row r="36" spans="1:7" x14ac:dyDescent="0.25">
      <c r="A36" s="42"/>
      <c r="B36" s="43"/>
      <c r="C36" s="41" t="s">
        <v>10</v>
      </c>
      <c r="D36" s="46">
        <v>4500</v>
      </c>
      <c r="E36" s="46">
        <v>5</v>
      </c>
      <c r="F36" s="43"/>
      <c r="G36" s="44"/>
    </row>
    <row r="37" spans="1:7" x14ac:dyDescent="0.25">
      <c r="A37" s="45"/>
      <c r="B37" s="43" t="s">
        <v>172</v>
      </c>
      <c r="C37" s="41" t="s">
        <v>9</v>
      </c>
      <c r="D37" s="43">
        <v>4300</v>
      </c>
      <c r="E37" s="43"/>
      <c r="F37" s="43">
        <v>5700</v>
      </c>
      <c r="G37" s="48"/>
    </row>
    <row r="38" spans="1:7" x14ac:dyDescent="0.25">
      <c r="A38" s="42"/>
      <c r="B38" s="46"/>
      <c r="C38" s="41" t="s">
        <v>10</v>
      </c>
      <c r="D38" s="46">
        <v>3500</v>
      </c>
      <c r="E38" s="46">
        <v>1</v>
      </c>
      <c r="F38" s="46"/>
      <c r="G38" s="44"/>
    </row>
    <row r="39" spans="1:7" x14ac:dyDescent="0.25">
      <c r="A39" s="45"/>
      <c r="B39" s="43"/>
      <c r="C39" s="41" t="s">
        <v>10</v>
      </c>
      <c r="D39" s="46">
        <v>4500</v>
      </c>
      <c r="E39" s="46">
        <v>5</v>
      </c>
      <c r="F39" s="43"/>
      <c r="G39" s="48"/>
    </row>
    <row r="40" spans="1:7" x14ac:dyDescent="0.25">
      <c r="A40" s="42"/>
      <c r="B40" s="43" t="s">
        <v>173</v>
      </c>
      <c r="C40" s="41" t="s">
        <v>9</v>
      </c>
      <c r="D40" s="43">
        <v>4300</v>
      </c>
      <c r="E40" s="43"/>
      <c r="F40" s="43"/>
      <c r="G40" s="44"/>
    </row>
    <row r="41" spans="1:7" x14ac:dyDescent="0.25">
      <c r="A41" s="45"/>
      <c r="B41" s="46"/>
      <c r="C41" s="41" t="s">
        <v>10</v>
      </c>
      <c r="D41" s="46">
        <v>3000</v>
      </c>
      <c r="E41" s="46">
        <v>30</v>
      </c>
      <c r="F41" s="46"/>
      <c r="G41" s="48"/>
    </row>
    <row r="42" spans="1:7" x14ac:dyDescent="0.25">
      <c r="A42" s="42"/>
      <c r="B42" s="43" t="s">
        <v>174</v>
      </c>
      <c r="C42" s="41" t="s">
        <v>9</v>
      </c>
      <c r="D42" s="43">
        <v>4300</v>
      </c>
      <c r="E42" s="43"/>
      <c r="F42" s="43"/>
      <c r="G42" s="44"/>
    </row>
    <row r="43" spans="1:7" x14ac:dyDescent="0.25">
      <c r="A43" s="45"/>
      <c r="B43" s="46"/>
      <c r="C43" s="41" t="s">
        <v>10</v>
      </c>
      <c r="D43" s="46">
        <v>3000</v>
      </c>
      <c r="E43" s="46">
        <v>30</v>
      </c>
      <c r="F43" s="46"/>
      <c r="G43" s="48"/>
    </row>
    <row r="44" spans="1:7" x14ac:dyDescent="0.25">
      <c r="A44" s="45"/>
      <c r="B44" s="46"/>
      <c r="C44" s="47"/>
      <c r="D44" s="46"/>
      <c r="E44" s="46"/>
      <c r="F44" s="46"/>
      <c r="G44" s="44"/>
    </row>
    <row r="45" spans="1:7" x14ac:dyDescent="0.25">
      <c r="A45" s="45"/>
      <c r="B45" s="46"/>
      <c r="C45" s="47"/>
      <c r="D45" s="46"/>
      <c r="E45" s="45"/>
      <c r="F45" s="46"/>
      <c r="G45" s="48"/>
    </row>
    <row r="46" spans="1:7" x14ac:dyDescent="0.25">
      <c r="A46" s="5" t="s">
        <v>41</v>
      </c>
      <c r="B46" s="6"/>
      <c r="C46" s="7"/>
      <c r="D46" s="6"/>
      <c r="E46" s="45"/>
      <c r="F46" s="46"/>
      <c r="G46" s="47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topLeftCell="A4" zoomScale="80" zoomScaleNormal="80" workbookViewId="0">
      <selection activeCell="C28" sqref="C28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1" width="11.42578125" style="72" customWidth="1"/>
    <col min="12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194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91</v>
      </c>
      <c r="B5" s="27">
        <v>3000</v>
      </c>
      <c r="C5" s="27">
        <v>300</v>
      </c>
      <c r="D5" s="27">
        <f>'PALIATIVO 30GY'!$B5/'PALIATIVO 30GY'!$C5</f>
        <v>10</v>
      </c>
      <c r="E5" s="28">
        <v>1</v>
      </c>
      <c r="G5" s="72" t="s">
        <v>17</v>
      </c>
      <c r="H5" s="35"/>
    </row>
    <row r="6" spans="1:9" x14ac:dyDescent="0.25">
      <c r="I6" s="34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9" x14ac:dyDescent="0.25">
      <c r="A8" s="42" t="s">
        <v>33</v>
      </c>
      <c r="B8" s="43" t="s">
        <v>91</v>
      </c>
      <c r="C8" s="73" t="s">
        <v>3</v>
      </c>
      <c r="D8" s="43">
        <v>2910</v>
      </c>
      <c r="E8" s="43">
        <v>95</v>
      </c>
      <c r="F8" s="43">
        <v>2850</v>
      </c>
      <c r="G8" s="44">
        <v>95</v>
      </c>
    </row>
    <row r="9" spans="1:9" x14ac:dyDescent="0.25">
      <c r="A9" s="45"/>
      <c r="B9" s="46"/>
      <c r="C9" s="73" t="s">
        <v>9</v>
      </c>
      <c r="D9" s="46">
        <v>3210</v>
      </c>
      <c r="E9" s="46"/>
      <c r="F9" s="46">
        <v>3300</v>
      </c>
      <c r="G9" s="48"/>
    </row>
    <row r="10" spans="1:9" x14ac:dyDescent="0.25">
      <c r="A10" s="42" t="s">
        <v>37</v>
      </c>
      <c r="B10" s="43" t="s">
        <v>100</v>
      </c>
      <c r="C10" s="73" t="s">
        <v>14</v>
      </c>
      <c r="D10" s="43">
        <v>0.5</v>
      </c>
      <c r="E10" s="43">
        <v>3000</v>
      </c>
      <c r="F10" s="43"/>
      <c r="G10" s="44"/>
    </row>
    <row r="11" spans="1:9" x14ac:dyDescent="0.25">
      <c r="A11" s="45"/>
      <c r="B11" s="46" t="s">
        <v>104</v>
      </c>
      <c r="C11" s="73" t="s">
        <v>14</v>
      </c>
      <c r="D11" s="46">
        <v>0.2</v>
      </c>
      <c r="E11" s="46">
        <v>2500</v>
      </c>
      <c r="F11" s="46"/>
      <c r="G11" s="48"/>
    </row>
    <row r="12" spans="1:9" x14ac:dyDescent="0.25">
      <c r="A12" s="42"/>
      <c r="B12" s="43" t="s">
        <v>105</v>
      </c>
      <c r="C12" s="73" t="s">
        <v>14</v>
      </c>
      <c r="D12" s="43">
        <v>0.2</v>
      </c>
      <c r="E12" s="46">
        <v>2500</v>
      </c>
      <c r="F12" s="43"/>
      <c r="G12" s="44"/>
    </row>
    <row r="13" spans="1:9" x14ac:dyDescent="0.25">
      <c r="A13" s="45"/>
      <c r="B13" s="46" t="s">
        <v>222</v>
      </c>
      <c r="C13" s="73" t="s">
        <v>14</v>
      </c>
      <c r="D13" s="46">
        <v>0.2</v>
      </c>
      <c r="E13" s="46">
        <v>3000</v>
      </c>
      <c r="F13" s="46"/>
      <c r="G13" s="48"/>
    </row>
    <row r="14" spans="1:9" x14ac:dyDescent="0.25">
      <c r="A14" s="42"/>
      <c r="B14" s="43" t="s">
        <v>223</v>
      </c>
      <c r="C14" s="73" t="s">
        <v>14</v>
      </c>
      <c r="D14" s="43">
        <v>0.2</v>
      </c>
      <c r="E14" s="46">
        <v>3000</v>
      </c>
      <c r="F14" s="43"/>
      <c r="G14" s="44"/>
    </row>
    <row r="15" spans="1:9" x14ac:dyDescent="0.25">
      <c r="A15" s="45"/>
      <c r="B15" s="46" t="s">
        <v>101</v>
      </c>
      <c r="C15" s="73" t="s">
        <v>14</v>
      </c>
      <c r="D15" s="46">
        <v>0.2</v>
      </c>
      <c r="E15" s="46">
        <v>3000</v>
      </c>
      <c r="F15" s="46"/>
      <c r="G15" s="48"/>
    </row>
    <row r="16" spans="1:9" x14ac:dyDescent="0.25">
      <c r="A16" s="42"/>
      <c r="B16" s="46" t="s">
        <v>106</v>
      </c>
      <c r="C16" s="73" t="s">
        <v>9</v>
      </c>
      <c r="D16" s="43">
        <v>500</v>
      </c>
      <c r="E16" s="43">
        <v>800</v>
      </c>
      <c r="F16" s="43"/>
      <c r="G16" s="44"/>
    </row>
    <row r="17" spans="1:7" x14ac:dyDescent="0.25">
      <c r="A17" s="45"/>
      <c r="B17" s="43" t="s">
        <v>107</v>
      </c>
      <c r="C17" s="73" t="s">
        <v>9</v>
      </c>
      <c r="D17" s="46">
        <v>500</v>
      </c>
      <c r="E17" s="46">
        <v>800</v>
      </c>
      <c r="F17" s="46"/>
      <c r="G17" s="48"/>
    </row>
    <row r="18" spans="1:7" x14ac:dyDescent="0.25">
      <c r="A18" s="42"/>
      <c r="B18" s="43" t="s">
        <v>111</v>
      </c>
      <c r="C18" s="73" t="s">
        <v>8</v>
      </c>
      <c r="D18" s="46">
        <v>2400</v>
      </c>
      <c r="E18" s="43"/>
      <c r="F18" s="43"/>
      <c r="G18" s="44"/>
    </row>
    <row r="19" spans="1:7" x14ac:dyDescent="0.25">
      <c r="A19" s="45"/>
      <c r="B19" s="46" t="s">
        <v>112</v>
      </c>
      <c r="C19" s="73" t="s">
        <v>8</v>
      </c>
      <c r="D19" s="46">
        <v>2400</v>
      </c>
      <c r="E19" s="46"/>
      <c r="F19" s="46"/>
      <c r="G19" s="48"/>
    </row>
    <row r="20" spans="1:7" x14ac:dyDescent="0.25">
      <c r="A20" s="42"/>
      <c r="B20" s="43" t="s">
        <v>219</v>
      </c>
      <c r="C20" s="73" t="s">
        <v>7</v>
      </c>
      <c r="D20" s="43">
        <v>2000</v>
      </c>
      <c r="E20" s="43">
        <v>20</v>
      </c>
      <c r="F20" s="43">
        <v>2000</v>
      </c>
      <c r="G20" s="44">
        <v>25</v>
      </c>
    </row>
    <row r="21" spans="1:7" x14ac:dyDescent="0.25">
      <c r="A21" s="45"/>
      <c r="B21" s="46"/>
      <c r="C21" s="73" t="s">
        <v>8</v>
      </c>
      <c r="D21" s="46">
        <v>1200</v>
      </c>
      <c r="E21" s="46"/>
      <c r="F21" s="46"/>
      <c r="G21" s="48"/>
    </row>
    <row r="22" spans="1:7" x14ac:dyDescent="0.25">
      <c r="A22" s="42"/>
      <c r="B22" s="43" t="s">
        <v>57</v>
      </c>
      <c r="C22" s="73" t="s">
        <v>9</v>
      </c>
      <c r="D22" s="43">
        <v>3000</v>
      </c>
      <c r="E22" s="43"/>
      <c r="F22" s="43"/>
      <c r="G22" s="44"/>
    </row>
    <row r="23" spans="1:7" x14ac:dyDescent="0.25">
      <c r="A23" s="45"/>
      <c r="B23" s="46" t="s">
        <v>165</v>
      </c>
      <c r="C23" s="73" t="s">
        <v>9</v>
      </c>
      <c r="D23" s="46">
        <v>3000</v>
      </c>
      <c r="E23" s="46"/>
      <c r="F23" s="46"/>
      <c r="G23" s="48"/>
    </row>
    <row r="24" spans="1:7" x14ac:dyDescent="0.25">
      <c r="A24" s="42"/>
      <c r="B24" s="43" t="s">
        <v>39</v>
      </c>
      <c r="C24" s="73" t="s">
        <v>9</v>
      </c>
      <c r="D24" s="43">
        <v>2000</v>
      </c>
      <c r="E24" s="43"/>
      <c r="F24" s="43"/>
      <c r="G24" s="44"/>
    </row>
    <row r="25" spans="1:7" x14ac:dyDescent="0.25">
      <c r="A25" s="45"/>
      <c r="B25" s="46"/>
      <c r="C25" s="73" t="s">
        <v>8</v>
      </c>
      <c r="D25" s="46">
        <v>1000</v>
      </c>
      <c r="E25" s="46"/>
      <c r="F25" s="46"/>
      <c r="G25" s="48"/>
    </row>
    <row r="26" spans="1:7" x14ac:dyDescent="0.25">
      <c r="A26" s="42"/>
      <c r="B26" s="43" t="s">
        <v>138</v>
      </c>
      <c r="C26" s="73" t="s">
        <v>7</v>
      </c>
      <c r="D26" s="43">
        <v>1500</v>
      </c>
      <c r="E26" s="43">
        <v>30</v>
      </c>
      <c r="F26" s="43"/>
      <c r="G26" s="44"/>
    </row>
    <row r="27" spans="1:7" x14ac:dyDescent="0.25">
      <c r="A27" s="45"/>
      <c r="B27" s="46"/>
      <c r="C27" s="73" t="s">
        <v>8</v>
      </c>
      <c r="D27" s="46">
        <v>1000</v>
      </c>
      <c r="E27" s="46"/>
      <c r="F27" s="46"/>
      <c r="G27" s="48"/>
    </row>
    <row r="28" spans="1:7" x14ac:dyDescent="0.25">
      <c r="A28" s="42"/>
      <c r="B28" s="43" t="s">
        <v>139</v>
      </c>
      <c r="C28" s="73" t="s">
        <v>7</v>
      </c>
      <c r="D28" s="43">
        <v>1500</v>
      </c>
      <c r="E28" s="43">
        <v>30</v>
      </c>
      <c r="F28" s="43"/>
      <c r="G28" s="44"/>
    </row>
    <row r="29" spans="1:7" x14ac:dyDescent="0.25">
      <c r="A29" s="45"/>
      <c r="B29" s="46"/>
      <c r="C29" s="73" t="s">
        <v>8</v>
      </c>
      <c r="D29" s="46">
        <v>1000</v>
      </c>
      <c r="E29" s="46"/>
      <c r="F29" s="46"/>
      <c r="G29" s="48"/>
    </row>
    <row r="30" spans="1:7" x14ac:dyDescent="0.25">
      <c r="A30" s="42"/>
      <c r="B30" s="43" t="s">
        <v>206</v>
      </c>
      <c r="C30" s="73" t="s">
        <v>9</v>
      </c>
      <c r="D30" s="43">
        <v>2000</v>
      </c>
      <c r="E30" s="43"/>
      <c r="F30" s="43"/>
      <c r="G30" s="44"/>
    </row>
    <row r="31" spans="1:7" x14ac:dyDescent="0.25">
      <c r="A31" s="45"/>
      <c r="B31" s="46" t="s">
        <v>44</v>
      </c>
      <c r="C31" s="73" t="s">
        <v>8</v>
      </c>
      <c r="D31" s="46">
        <v>1500</v>
      </c>
      <c r="E31" s="46"/>
      <c r="F31" s="46"/>
      <c r="G31" s="48"/>
    </row>
    <row r="32" spans="1:7" x14ac:dyDescent="0.25">
      <c r="A32" s="42"/>
      <c r="B32" s="43"/>
      <c r="C32" s="73" t="s">
        <v>10</v>
      </c>
      <c r="D32" s="43">
        <v>1500</v>
      </c>
      <c r="E32" s="43">
        <v>700</v>
      </c>
      <c r="F32" s="43"/>
      <c r="G32" s="44"/>
    </row>
    <row r="33" spans="1:7" x14ac:dyDescent="0.25">
      <c r="A33" s="45"/>
      <c r="B33" s="43" t="s">
        <v>84</v>
      </c>
      <c r="C33" s="73" t="s">
        <v>9</v>
      </c>
      <c r="D33" s="43">
        <v>2000</v>
      </c>
      <c r="E33" s="46"/>
      <c r="F33" s="46"/>
      <c r="G33" s="48"/>
    </row>
    <row r="34" spans="1:7" x14ac:dyDescent="0.25">
      <c r="A34" s="42"/>
      <c r="B34" s="43" t="s">
        <v>76</v>
      </c>
      <c r="C34" s="73" t="s">
        <v>9</v>
      </c>
      <c r="D34" s="43">
        <v>2000</v>
      </c>
      <c r="E34" s="43"/>
      <c r="F34" s="43"/>
      <c r="G34" s="44"/>
    </row>
    <row r="35" spans="1:7" x14ac:dyDescent="0.25">
      <c r="A35" s="45"/>
      <c r="B35" s="43" t="s">
        <v>77</v>
      </c>
      <c r="C35" s="73" t="s">
        <v>9</v>
      </c>
      <c r="D35" s="43">
        <v>2000</v>
      </c>
      <c r="E35" s="46"/>
      <c r="F35" s="46"/>
      <c r="G35" s="48"/>
    </row>
    <row r="36" spans="1:7" x14ac:dyDescent="0.25">
      <c r="A36" s="42"/>
      <c r="B36" s="43" t="s">
        <v>221</v>
      </c>
      <c r="C36" s="73" t="s">
        <v>9</v>
      </c>
      <c r="D36" s="43">
        <v>2000</v>
      </c>
      <c r="E36" s="43"/>
      <c r="F36" s="43"/>
      <c r="G36" s="44"/>
    </row>
    <row r="37" spans="1:7" x14ac:dyDescent="0.25">
      <c r="A37" s="45"/>
      <c r="B37" s="46" t="s">
        <v>85</v>
      </c>
      <c r="C37" s="73" t="s">
        <v>9</v>
      </c>
      <c r="D37" s="43">
        <v>2500</v>
      </c>
      <c r="E37" s="46"/>
      <c r="F37" s="46"/>
      <c r="G37" s="48"/>
    </row>
    <row r="38" spans="1:7" x14ac:dyDescent="0.25">
      <c r="A38" s="42"/>
      <c r="B38" s="43"/>
      <c r="C38" s="73"/>
      <c r="D38" s="43"/>
      <c r="E38" s="43"/>
      <c r="F38" s="43"/>
      <c r="G38" s="44"/>
    </row>
    <row r="39" spans="1:7" x14ac:dyDescent="0.25">
      <c r="A39" s="45"/>
      <c r="B39" s="46"/>
      <c r="C39" s="73"/>
      <c r="D39" s="46"/>
      <c r="E39" s="46"/>
      <c r="F39" s="46"/>
      <c r="G39" s="48"/>
    </row>
    <row r="40" spans="1:7" x14ac:dyDescent="0.25">
      <c r="A40" s="42"/>
      <c r="B40" s="43"/>
      <c r="C40" s="73"/>
      <c r="D40" s="43"/>
      <c r="E40" s="43"/>
      <c r="F40" s="43"/>
      <c r="G40" s="44"/>
    </row>
    <row r="41" spans="1:7" x14ac:dyDescent="0.25">
      <c r="A41" s="45"/>
      <c r="B41" s="46"/>
      <c r="C41" s="73"/>
      <c r="D41" s="46"/>
      <c r="E41" s="46"/>
      <c r="F41" s="46"/>
      <c r="G41" s="48"/>
    </row>
    <row r="42" spans="1:7" x14ac:dyDescent="0.25">
      <c r="A42" s="42"/>
      <c r="B42" s="43"/>
      <c r="C42" s="73"/>
      <c r="D42" s="43"/>
      <c r="E42" s="43"/>
      <c r="F42" s="43"/>
      <c r="G42" s="44"/>
    </row>
    <row r="43" spans="1:7" x14ac:dyDescent="0.25">
      <c r="A43" s="45"/>
      <c r="B43" s="46"/>
      <c r="C43" s="73"/>
      <c r="D43" s="46"/>
      <c r="E43" s="46"/>
      <c r="F43" s="46"/>
      <c r="G43" s="48"/>
    </row>
    <row r="44" spans="1:7" x14ac:dyDescent="0.25">
      <c r="A44" s="42"/>
      <c r="B44" s="43"/>
      <c r="C44" s="73"/>
      <c r="D44" s="43"/>
      <c r="E44" s="43"/>
      <c r="F44" s="43"/>
      <c r="G44" s="44"/>
    </row>
    <row r="45" spans="1:7" x14ac:dyDescent="0.25">
      <c r="D45" s="6"/>
      <c r="E45" s="6"/>
      <c r="F45" s="6"/>
      <c r="G45" s="8"/>
    </row>
    <row r="46" spans="1:7" x14ac:dyDescent="0.25">
      <c r="A46" s="5" t="s">
        <v>34</v>
      </c>
      <c r="B46" s="6"/>
      <c r="C46" s="74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80" zoomScaleNormal="80" workbookViewId="0">
      <selection activeCell="E20" sqref="E20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1" width="11.42578125" style="72" customWidth="1"/>
    <col min="12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193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9" ht="15.75" customHeight="1" x14ac:dyDescent="0.25">
      <c r="A5" s="26" t="s">
        <v>91</v>
      </c>
      <c r="B5" s="27">
        <v>2500</v>
      </c>
      <c r="C5" s="27">
        <v>250</v>
      </c>
      <c r="D5" s="27">
        <f>'PALIATIVO 25GY'!$B5/'PALIATIVO 25GY'!$C5</f>
        <v>10</v>
      </c>
      <c r="E5" s="28">
        <v>1</v>
      </c>
      <c r="G5" s="72" t="s">
        <v>17</v>
      </c>
      <c r="H5" s="35"/>
    </row>
    <row r="6" spans="1:9" x14ac:dyDescent="0.25">
      <c r="I6" s="34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9" x14ac:dyDescent="0.25">
      <c r="A8" s="42" t="s">
        <v>33</v>
      </c>
      <c r="B8" s="43" t="s">
        <v>91</v>
      </c>
      <c r="C8" s="73" t="s">
        <v>3</v>
      </c>
      <c r="D8" s="43">
        <v>2425</v>
      </c>
      <c r="E8" s="43">
        <v>95</v>
      </c>
      <c r="F8" s="43">
        <v>2375</v>
      </c>
      <c r="G8" s="44">
        <v>95</v>
      </c>
    </row>
    <row r="9" spans="1:9" x14ac:dyDescent="0.25">
      <c r="A9" s="45"/>
      <c r="B9" s="46"/>
      <c r="C9" s="73" t="s">
        <v>9</v>
      </c>
      <c r="D9" s="46">
        <v>2675</v>
      </c>
      <c r="E9" s="46"/>
      <c r="F9" s="46">
        <v>2750</v>
      </c>
      <c r="G9" s="48"/>
    </row>
    <row r="10" spans="1:9" x14ac:dyDescent="0.25">
      <c r="A10" s="42"/>
      <c r="B10" s="43"/>
      <c r="C10" s="73"/>
      <c r="D10" s="43"/>
      <c r="E10" s="43"/>
      <c r="F10" s="43"/>
      <c r="G10" s="44"/>
    </row>
    <row r="11" spans="1:9" x14ac:dyDescent="0.25">
      <c r="A11" s="45"/>
      <c r="B11" s="46"/>
      <c r="C11" s="73"/>
      <c r="D11" s="46"/>
      <c r="E11" s="46"/>
      <c r="F11" s="46"/>
      <c r="G11" s="48"/>
    </row>
    <row r="12" spans="1:9" x14ac:dyDescent="0.25">
      <c r="A12" s="42"/>
      <c r="B12" s="43"/>
      <c r="C12" s="73"/>
      <c r="D12" s="43"/>
      <c r="E12" s="43"/>
      <c r="F12" s="43"/>
      <c r="G12" s="44"/>
    </row>
    <row r="13" spans="1:9" x14ac:dyDescent="0.25">
      <c r="A13" s="45"/>
      <c r="B13" s="46"/>
      <c r="C13" s="73"/>
      <c r="D13" s="46"/>
      <c r="E13" s="46"/>
      <c r="F13" s="46"/>
      <c r="G13" s="48"/>
    </row>
    <row r="14" spans="1:9" x14ac:dyDescent="0.25">
      <c r="A14" s="42"/>
      <c r="B14" s="43"/>
      <c r="C14" s="73"/>
      <c r="D14" s="43"/>
      <c r="E14" s="43"/>
      <c r="F14" s="43"/>
      <c r="G14" s="44"/>
    </row>
    <row r="15" spans="1:9" x14ac:dyDescent="0.25">
      <c r="A15" s="45"/>
      <c r="B15" s="46"/>
      <c r="C15" s="73"/>
      <c r="D15" s="46"/>
      <c r="E15" s="46"/>
      <c r="F15" s="46"/>
      <c r="G15" s="48"/>
    </row>
    <row r="16" spans="1:9" x14ac:dyDescent="0.25">
      <c r="A16" s="42"/>
      <c r="B16" s="43"/>
      <c r="C16" s="73"/>
      <c r="D16" s="43"/>
      <c r="E16" s="43"/>
      <c r="F16" s="43"/>
      <c r="G16" s="44"/>
    </row>
    <row r="17" spans="1:7" x14ac:dyDescent="0.25">
      <c r="A17" s="45"/>
      <c r="B17" s="46"/>
      <c r="C17" s="73"/>
      <c r="D17" s="46"/>
      <c r="E17" s="46"/>
      <c r="F17" s="46"/>
      <c r="G17" s="48"/>
    </row>
    <row r="18" spans="1:7" x14ac:dyDescent="0.25">
      <c r="A18" s="42"/>
      <c r="B18" s="43"/>
      <c r="C18" s="73"/>
      <c r="D18" s="43"/>
      <c r="E18" s="43"/>
      <c r="F18" s="43"/>
      <c r="G18" s="44"/>
    </row>
    <row r="19" spans="1:7" x14ac:dyDescent="0.25">
      <c r="A19" s="45"/>
      <c r="B19" s="46"/>
      <c r="C19" s="73"/>
      <c r="D19" s="46"/>
      <c r="E19" s="46"/>
      <c r="F19" s="46"/>
      <c r="G19" s="48"/>
    </row>
    <row r="20" spans="1:7" x14ac:dyDescent="0.25">
      <c r="A20" s="42"/>
      <c r="B20" s="43"/>
      <c r="C20" s="73"/>
      <c r="D20" s="43"/>
      <c r="E20" s="43"/>
      <c r="F20" s="43"/>
      <c r="G20" s="44"/>
    </row>
    <row r="21" spans="1:7" x14ac:dyDescent="0.25">
      <c r="A21" s="45"/>
      <c r="B21" s="46"/>
      <c r="C21" s="73"/>
      <c r="D21" s="46"/>
      <c r="E21" s="46"/>
      <c r="F21" s="46"/>
      <c r="G21" s="48"/>
    </row>
    <row r="22" spans="1:7" x14ac:dyDescent="0.25">
      <c r="A22" s="42"/>
      <c r="B22" s="43"/>
      <c r="C22" s="73"/>
      <c r="D22" s="43"/>
      <c r="E22" s="43"/>
      <c r="F22" s="43"/>
      <c r="G22" s="44"/>
    </row>
    <row r="23" spans="1:7" x14ac:dyDescent="0.25">
      <c r="A23" s="45"/>
      <c r="B23" s="46"/>
      <c r="C23" s="73"/>
      <c r="D23" s="46"/>
      <c r="E23" s="46"/>
      <c r="F23" s="46"/>
      <c r="G23" s="48"/>
    </row>
    <row r="24" spans="1:7" x14ac:dyDescent="0.25">
      <c r="A24" s="42"/>
      <c r="B24" s="43"/>
      <c r="C24" s="73"/>
      <c r="D24" s="43"/>
      <c r="E24" s="43"/>
      <c r="F24" s="43"/>
      <c r="G24" s="44"/>
    </row>
    <row r="25" spans="1:7" x14ac:dyDescent="0.25">
      <c r="A25" s="45"/>
      <c r="B25" s="46"/>
      <c r="C25" s="73"/>
      <c r="D25" s="46"/>
      <c r="E25" s="46"/>
      <c r="F25" s="46"/>
      <c r="G25" s="48"/>
    </row>
    <row r="26" spans="1:7" x14ac:dyDescent="0.25">
      <c r="A26" s="42"/>
      <c r="B26" s="43"/>
      <c r="C26" s="73"/>
      <c r="D26" s="43"/>
      <c r="E26" s="43"/>
      <c r="F26" s="43"/>
      <c r="G26" s="44"/>
    </row>
    <row r="27" spans="1:7" x14ac:dyDescent="0.25">
      <c r="A27" s="45"/>
      <c r="B27" s="46"/>
      <c r="C27" s="73"/>
      <c r="D27" s="46"/>
      <c r="E27" s="46"/>
      <c r="F27" s="46"/>
      <c r="G27" s="48"/>
    </row>
    <row r="28" spans="1:7" x14ac:dyDescent="0.25">
      <c r="A28" s="42"/>
      <c r="B28" s="43"/>
      <c r="C28" s="73"/>
      <c r="D28" s="43"/>
      <c r="E28" s="43"/>
      <c r="F28" s="43"/>
      <c r="G28" s="44"/>
    </row>
    <row r="29" spans="1:7" x14ac:dyDescent="0.25">
      <c r="A29" s="45"/>
      <c r="B29" s="46"/>
      <c r="C29" s="73"/>
      <c r="D29" s="46"/>
      <c r="E29" s="46"/>
      <c r="F29" s="46"/>
      <c r="G29" s="48"/>
    </row>
    <row r="30" spans="1:7" x14ac:dyDescent="0.25">
      <c r="A30" s="42"/>
      <c r="B30" s="43"/>
      <c r="C30" s="73"/>
      <c r="D30" s="43"/>
      <c r="E30" s="43"/>
      <c r="F30" s="43"/>
      <c r="G30" s="44"/>
    </row>
    <row r="31" spans="1:7" x14ac:dyDescent="0.25">
      <c r="A31" s="45"/>
      <c r="B31" s="46"/>
      <c r="C31" s="73"/>
      <c r="D31" s="46"/>
      <c r="E31" s="46"/>
      <c r="F31" s="46"/>
      <c r="G31" s="48"/>
    </row>
    <row r="32" spans="1:7" x14ac:dyDescent="0.25">
      <c r="A32" s="42"/>
      <c r="B32" s="43"/>
      <c r="C32" s="73"/>
      <c r="D32" s="43"/>
      <c r="E32" s="43"/>
      <c r="F32" s="43"/>
      <c r="G32" s="44"/>
    </row>
    <row r="33" spans="1:7" x14ac:dyDescent="0.25">
      <c r="A33" s="45"/>
      <c r="B33" s="46"/>
      <c r="C33" s="73"/>
      <c r="D33" s="46"/>
      <c r="E33" s="46"/>
      <c r="F33" s="46"/>
      <c r="G33" s="48"/>
    </row>
    <row r="34" spans="1:7" x14ac:dyDescent="0.25">
      <c r="A34" s="42"/>
      <c r="B34" s="43"/>
      <c r="C34" s="73"/>
      <c r="D34" s="43"/>
      <c r="E34" s="43"/>
      <c r="F34" s="43"/>
      <c r="G34" s="44"/>
    </row>
    <row r="35" spans="1:7" x14ac:dyDescent="0.25">
      <c r="A35" s="45"/>
      <c r="B35" s="46"/>
      <c r="C35" s="73"/>
      <c r="D35" s="46"/>
      <c r="E35" s="46"/>
      <c r="F35" s="46"/>
      <c r="G35" s="48"/>
    </row>
    <row r="36" spans="1:7" x14ac:dyDescent="0.25">
      <c r="A36" s="42"/>
      <c r="B36" s="43"/>
      <c r="C36" s="73"/>
      <c r="D36" s="43"/>
      <c r="E36" s="43"/>
      <c r="F36" s="43"/>
      <c r="G36" s="44"/>
    </row>
    <row r="37" spans="1:7" x14ac:dyDescent="0.25">
      <c r="A37" s="45"/>
      <c r="B37" s="46"/>
      <c r="C37" s="73"/>
      <c r="D37" s="46"/>
      <c r="E37" s="46"/>
      <c r="F37" s="46"/>
      <c r="G37" s="48"/>
    </row>
    <row r="38" spans="1:7" x14ac:dyDescent="0.25">
      <c r="A38" s="42"/>
      <c r="B38" s="43"/>
      <c r="C38" s="73"/>
      <c r="D38" s="43"/>
      <c r="E38" s="43"/>
      <c r="F38" s="43"/>
      <c r="G38" s="44"/>
    </row>
    <row r="39" spans="1:7" x14ac:dyDescent="0.25">
      <c r="A39" s="45"/>
      <c r="B39" s="46"/>
      <c r="C39" s="73"/>
      <c r="D39" s="46"/>
      <c r="E39" s="46"/>
      <c r="F39" s="46"/>
      <c r="G39" s="48"/>
    </row>
    <row r="40" spans="1:7" x14ac:dyDescent="0.25">
      <c r="A40" s="42"/>
      <c r="B40" s="43"/>
      <c r="C40" s="73"/>
      <c r="D40" s="43"/>
      <c r="E40" s="43"/>
      <c r="F40" s="43"/>
      <c r="G40" s="44"/>
    </row>
    <row r="41" spans="1:7" x14ac:dyDescent="0.25">
      <c r="A41" s="45"/>
      <c r="B41" s="46"/>
      <c r="C41" s="73"/>
      <c r="D41" s="46"/>
      <c r="E41" s="46"/>
      <c r="F41" s="46"/>
      <c r="G41" s="48"/>
    </row>
    <row r="42" spans="1:7" x14ac:dyDescent="0.25">
      <c r="A42" s="42"/>
      <c r="B42" s="43"/>
      <c r="C42" s="73"/>
      <c r="D42" s="43"/>
      <c r="E42" s="43"/>
      <c r="F42" s="43"/>
      <c r="G42" s="44"/>
    </row>
    <row r="43" spans="1:7" x14ac:dyDescent="0.25">
      <c r="A43" s="45"/>
      <c r="B43" s="46"/>
      <c r="C43" s="73"/>
      <c r="D43" s="46"/>
      <c r="E43" s="46"/>
      <c r="F43" s="46"/>
      <c r="G43" s="48"/>
    </row>
    <row r="44" spans="1:7" x14ac:dyDescent="0.25">
      <c r="A44" s="42"/>
      <c r="B44" s="43"/>
      <c r="C44" s="73"/>
      <c r="D44" s="43"/>
      <c r="E44" s="43"/>
      <c r="F44" s="43"/>
      <c r="G44" s="44"/>
    </row>
    <row r="45" spans="1:7" x14ac:dyDescent="0.25">
      <c r="D45" s="6"/>
      <c r="E45" s="6"/>
      <c r="F45" s="6"/>
      <c r="G45" s="8"/>
    </row>
    <row r="46" spans="1:7" x14ac:dyDescent="0.25">
      <c r="A46" s="5" t="s">
        <v>34</v>
      </c>
      <c r="B46" s="6"/>
      <c r="C46" s="74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zoomScale="80" zoomScaleNormal="80" workbookViewId="0">
      <selection activeCell="C43" sqref="C43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1" width="11.42578125" style="72" customWidth="1"/>
    <col min="12" max="16384" width="11.42578125" style="72"/>
  </cols>
  <sheetData>
    <row r="1" spans="1:13" ht="255.75" customHeight="1" x14ac:dyDescent="0.25"/>
    <row r="2" spans="1:13" ht="21" customHeight="1" x14ac:dyDescent="0.35">
      <c r="A2" s="38" t="s">
        <v>18</v>
      </c>
      <c r="B2" s="39" t="s">
        <v>220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13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t="s">
        <v>25</v>
      </c>
    </row>
    <row r="5" spans="1:13" ht="15.75" customHeight="1" x14ac:dyDescent="0.25">
      <c r="A5" s="26" t="s">
        <v>91</v>
      </c>
      <c r="B5" s="27">
        <v>2000</v>
      </c>
      <c r="C5" s="27">
        <v>400</v>
      </c>
      <c r="D5" s="27">
        <f>'PALIATIVO 20GY'!$B5/'PALIATIVO 20GY'!$C5</f>
        <v>5</v>
      </c>
      <c r="E5" s="28">
        <v>1</v>
      </c>
      <c r="G5" s="72" t="s">
        <v>15</v>
      </c>
      <c r="H5" s="35"/>
      <c r="J5" s="113"/>
      <c r="K5" s="113"/>
      <c r="L5" s="113"/>
      <c r="M5" s="113"/>
    </row>
    <row r="6" spans="1:13" x14ac:dyDescent="0.25">
      <c r="I6" s="34"/>
      <c r="J6" s="90"/>
      <c r="K6" s="91"/>
      <c r="L6" s="90"/>
      <c r="M6" s="90"/>
    </row>
    <row r="7" spans="1:13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  <c r="J7" s="90"/>
      <c r="K7" s="91"/>
      <c r="L7" s="90"/>
      <c r="M7" s="90"/>
    </row>
    <row r="8" spans="1:13" x14ac:dyDescent="0.25">
      <c r="A8" s="42" t="s">
        <v>33</v>
      </c>
      <c r="B8" s="43" t="s">
        <v>91</v>
      </c>
      <c r="C8" s="73" t="s">
        <v>3</v>
      </c>
      <c r="D8" s="43">
        <v>1940</v>
      </c>
      <c r="E8" s="43">
        <v>95</v>
      </c>
      <c r="F8" s="43">
        <v>1900</v>
      </c>
      <c r="G8" s="44">
        <v>95</v>
      </c>
      <c r="J8" s="90"/>
      <c r="K8" s="91"/>
      <c r="L8" s="90"/>
      <c r="M8" s="90"/>
    </row>
    <row r="9" spans="1:13" x14ac:dyDescent="0.25">
      <c r="A9" s="45"/>
      <c r="B9" s="46"/>
      <c r="C9" s="73" t="s">
        <v>9</v>
      </c>
      <c r="D9" s="46">
        <v>2140</v>
      </c>
      <c r="E9" s="46"/>
      <c r="F9" s="46">
        <v>2200</v>
      </c>
      <c r="G9" s="48"/>
      <c r="J9" s="90"/>
      <c r="K9" s="91"/>
      <c r="L9" s="90"/>
      <c r="M9" s="90"/>
    </row>
    <row r="10" spans="1:13" x14ac:dyDescent="0.25">
      <c r="A10" s="42" t="s">
        <v>37</v>
      </c>
      <c r="B10" s="43" t="s">
        <v>100</v>
      </c>
      <c r="C10" s="73" t="s">
        <v>14</v>
      </c>
      <c r="D10" s="43">
        <v>0.5</v>
      </c>
      <c r="E10" s="43">
        <v>2000</v>
      </c>
      <c r="F10" s="43">
        <v>2000</v>
      </c>
      <c r="G10" s="44">
        <v>15</v>
      </c>
      <c r="J10" s="90"/>
      <c r="K10" s="91"/>
      <c r="L10" s="90"/>
      <c r="M10" s="90"/>
    </row>
    <row r="11" spans="1:13" x14ac:dyDescent="0.25">
      <c r="A11" s="45"/>
      <c r="B11" s="46" t="s">
        <v>104</v>
      </c>
      <c r="C11" s="73" t="s">
        <v>14</v>
      </c>
      <c r="D11" s="46">
        <v>0.2</v>
      </c>
      <c r="E11" s="46">
        <v>2000</v>
      </c>
      <c r="F11" s="46"/>
      <c r="G11" s="48"/>
      <c r="J11" s="90"/>
      <c r="K11" s="91"/>
      <c r="L11" s="90"/>
      <c r="M11" s="90"/>
    </row>
    <row r="12" spans="1:13" x14ac:dyDescent="0.25">
      <c r="A12" s="42"/>
      <c r="B12" s="43" t="s">
        <v>105</v>
      </c>
      <c r="C12" s="73" t="s">
        <v>14</v>
      </c>
      <c r="D12" s="43">
        <v>0.2</v>
      </c>
      <c r="E12" s="46">
        <v>2000</v>
      </c>
      <c r="F12" s="43"/>
      <c r="G12" s="44"/>
      <c r="J12" s="90"/>
      <c r="K12" s="91"/>
      <c r="L12" s="90"/>
      <c r="M12" s="90"/>
    </row>
    <row r="13" spans="1:13" x14ac:dyDescent="0.25">
      <c r="A13" s="45"/>
      <c r="B13" s="46" t="s">
        <v>222</v>
      </c>
      <c r="C13" s="73" t="s">
        <v>14</v>
      </c>
      <c r="D13" s="46">
        <v>0.2</v>
      </c>
      <c r="E13" s="46">
        <v>2000</v>
      </c>
      <c r="F13" s="46"/>
      <c r="G13" s="48"/>
      <c r="J13" s="90"/>
      <c r="K13" s="91"/>
      <c r="L13" s="90"/>
      <c r="M13" s="90"/>
    </row>
    <row r="14" spans="1:13" x14ac:dyDescent="0.25">
      <c r="A14" s="42"/>
      <c r="B14" s="43" t="s">
        <v>223</v>
      </c>
      <c r="C14" s="73" t="s">
        <v>14</v>
      </c>
      <c r="D14" s="43">
        <v>0.2</v>
      </c>
      <c r="E14" s="46">
        <v>2000</v>
      </c>
      <c r="F14" s="43"/>
      <c r="G14" s="44"/>
      <c r="J14" s="90"/>
      <c r="K14" s="91"/>
      <c r="L14" s="90"/>
      <c r="M14" s="90"/>
    </row>
    <row r="15" spans="1:13" x14ac:dyDescent="0.25">
      <c r="A15" s="45"/>
      <c r="B15" s="46" t="s">
        <v>101</v>
      </c>
      <c r="C15" s="73" t="s">
        <v>14</v>
      </c>
      <c r="D15" s="46">
        <v>0.2</v>
      </c>
      <c r="E15" s="46">
        <v>2000</v>
      </c>
      <c r="F15" s="46"/>
      <c r="G15" s="48"/>
      <c r="J15" s="90"/>
      <c r="K15" s="91"/>
      <c r="L15" s="90"/>
      <c r="M15" s="90"/>
    </row>
    <row r="16" spans="1:13" x14ac:dyDescent="0.25">
      <c r="A16" s="42"/>
      <c r="B16" s="46" t="s">
        <v>106</v>
      </c>
      <c r="C16" s="73" t="s">
        <v>9</v>
      </c>
      <c r="D16" s="43">
        <v>500</v>
      </c>
      <c r="E16" s="43"/>
      <c r="F16" s="43"/>
      <c r="G16" s="44"/>
      <c r="J16" s="90"/>
      <c r="K16" s="91"/>
      <c r="L16" s="90"/>
      <c r="M16" s="90"/>
    </row>
    <row r="17" spans="1:13" x14ac:dyDescent="0.25">
      <c r="A17" s="45"/>
      <c r="B17" s="43" t="s">
        <v>107</v>
      </c>
      <c r="C17" s="73" t="s">
        <v>9</v>
      </c>
      <c r="D17" s="46">
        <v>500</v>
      </c>
      <c r="E17" s="46"/>
      <c r="F17" s="46"/>
      <c r="G17" s="48"/>
      <c r="J17" s="90"/>
      <c r="K17" s="91"/>
      <c r="L17" s="90"/>
      <c r="M17" s="90"/>
    </row>
    <row r="18" spans="1:13" x14ac:dyDescent="0.25">
      <c r="A18" s="42"/>
      <c r="B18" s="43" t="s">
        <v>111</v>
      </c>
      <c r="C18" s="73" t="s">
        <v>8</v>
      </c>
      <c r="D18" s="46">
        <v>2000</v>
      </c>
      <c r="E18" s="43"/>
      <c r="F18" s="43"/>
      <c r="G18" s="44"/>
      <c r="J18" s="90"/>
      <c r="K18" s="91"/>
      <c r="L18" s="90"/>
      <c r="M18" s="90"/>
    </row>
    <row r="19" spans="1:13" x14ac:dyDescent="0.25">
      <c r="A19" s="45"/>
      <c r="B19" s="46" t="s">
        <v>112</v>
      </c>
      <c r="C19" s="73" t="s">
        <v>8</v>
      </c>
      <c r="D19" s="46">
        <v>2000</v>
      </c>
      <c r="E19" s="46"/>
      <c r="F19" s="46"/>
      <c r="G19" s="48"/>
      <c r="J19" s="90"/>
      <c r="K19" s="91"/>
      <c r="L19" s="90"/>
      <c r="M19" s="90"/>
    </row>
    <row r="20" spans="1:13" x14ac:dyDescent="0.25">
      <c r="A20" s="42"/>
      <c r="B20" s="43" t="s">
        <v>219</v>
      </c>
      <c r="C20" s="73" t="s">
        <v>7</v>
      </c>
      <c r="D20" s="43">
        <v>2000</v>
      </c>
      <c r="E20" s="43">
        <v>10</v>
      </c>
      <c r="F20" s="43"/>
      <c r="G20" s="44"/>
      <c r="J20" s="90"/>
      <c r="K20" s="91"/>
      <c r="L20" s="90"/>
      <c r="M20" s="90"/>
    </row>
    <row r="21" spans="1:13" x14ac:dyDescent="0.25">
      <c r="A21" s="45"/>
      <c r="B21" s="46"/>
      <c r="C21" s="73" t="s">
        <v>8</v>
      </c>
      <c r="D21" s="46">
        <v>800</v>
      </c>
      <c r="E21" s="46"/>
      <c r="F21" s="46"/>
      <c r="G21" s="48"/>
      <c r="J21" s="90"/>
      <c r="K21" s="91"/>
      <c r="L21" s="90"/>
      <c r="M21" s="90"/>
    </row>
    <row r="22" spans="1:13" x14ac:dyDescent="0.25">
      <c r="A22" s="42"/>
      <c r="B22" s="43" t="s">
        <v>57</v>
      </c>
      <c r="C22" s="73" t="s">
        <v>9</v>
      </c>
      <c r="D22" s="43">
        <v>2000</v>
      </c>
      <c r="E22" s="43"/>
      <c r="F22" s="43"/>
      <c r="G22" s="44"/>
      <c r="J22" s="90"/>
      <c r="K22" s="91"/>
      <c r="L22" s="90"/>
      <c r="M22" s="90"/>
    </row>
    <row r="23" spans="1:13" x14ac:dyDescent="0.25">
      <c r="A23" s="45"/>
      <c r="B23" s="46" t="s">
        <v>165</v>
      </c>
      <c r="C23" s="73" t="s">
        <v>9</v>
      </c>
      <c r="D23" s="46">
        <v>2000</v>
      </c>
      <c r="E23" s="46"/>
      <c r="F23" s="46"/>
      <c r="G23" s="48"/>
      <c r="J23" s="90"/>
      <c r="K23" s="91"/>
      <c r="L23" s="90"/>
      <c r="M23" s="90"/>
    </row>
    <row r="24" spans="1:13" x14ac:dyDescent="0.25">
      <c r="A24" s="42"/>
      <c r="B24" s="43" t="s">
        <v>39</v>
      </c>
      <c r="C24" s="73" t="s">
        <v>9</v>
      </c>
      <c r="D24" s="43">
        <v>2000</v>
      </c>
      <c r="E24" s="43"/>
      <c r="F24" s="43"/>
      <c r="G24" s="44"/>
      <c r="J24" s="113"/>
      <c r="K24" s="113"/>
      <c r="L24" s="113"/>
      <c r="M24" s="113"/>
    </row>
    <row r="25" spans="1:13" x14ac:dyDescent="0.25">
      <c r="A25" s="45"/>
      <c r="B25" s="46"/>
      <c r="C25" s="73" t="s">
        <v>8</v>
      </c>
      <c r="D25" s="46">
        <v>1000</v>
      </c>
      <c r="E25" s="46"/>
      <c r="F25" s="46"/>
      <c r="G25" s="48"/>
      <c r="J25" s="113"/>
      <c r="K25" s="113"/>
      <c r="L25" s="113"/>
      <c r="M25" s="113"/>
    </row>
    <row r="26" spans="1:13" x14ac:dyDescent="0.25">
      <c r="A26" s="42"/>
      <c r="B26" s="43" t="s">
        <v>138</v>
      </c>
      <c r="C26" s="73" t="s">
        <v>7</v>
      </c>
      <c r="D26" s="43">
        <v>1500</v>
      </c>
      <c r="E26" s="43">
        <v>35</v>
      </c>
      <c r="F26" s="43"/>
      <c r="G26" s="44"/>
      <c r="J26" s="113"/>
      <c r="K26" s="113"/>
      <c r="L26" s="113"/>
      <c r="M26" s="113"/>
    </row>
    <row r="27" spans="1:13" x14ac:dyDescent="0.25">
      <c r="A27" s="45"/>
      <c r="B27" s="46"/>
      <c r="C27" s="73" t="s">
        <v>8</v>
      </c>
      <c r="D27" s="46">
        <v>1000</v>
      </c>
      <c r="E27" s="46"/>
      <c r="F27" s="46"/>
      <c r="G27" s="48"/>
    </row>
    <row r="28" spans="1:13" x14ac:dyDescent="0.25">
      <c r="A28" s="42"/>
      <c r="B28" s="43" t="s">
        <v>139</v>
      </c>
      <c r="C28" s="73" t="s">
        <v>7</v>
      </c>
      <c r="D28" s="43">
        <v>1500</v>
      </c>
      <c r="E28" s="43">
        <v>35</v>
      </c>
      <c r="F28" s="43"/>
      <c r="G28" s="44"/>
    </row>
    <row r="29" spans="1:13" x14ac:dyDescent="0.25">
      <c r="A29" s="45"/>
      <c r="B29" s="46"/>
      <c r="C29" s="73" t="s">
        <v>8</v>
      </c>
      <c r="D29" s="46">
        <v>1000</v>
      </c>
      <c r="E29" s="46"/>
      <c r="F29" s="46"/>
      <c r="G29" s="48"/>
    </row>
    <row r="30" spans="1:13" x14ac:dyDescent="0.25">
      <c r="A30" s="42"/>
      <c r="B30" s="43" t="s">
        <v>206</v>
      </c>
      <c r="C30" s="73" t="s">
        <v>9</v>
      </c>
      <c r="D30" s="43">
        <v>2000</v>
      </c>
      <c r="E30" s="43"/>
      <c r="F30" s="43"/>
      <c r="G30" s="44"/>
    </row>
    <row r="31" spans="1:13" x14ac:dyDescent="0.25">
      <c r="A31" s="45"/>
      <c r="B31" s="46" t="s">
        <v>44</v>
      </c>
      <c r="C31" s="73" t="s">
        <v>8</v>
      </c>
      <c r="D31" s="46">
        <v>1500</v>
      </c>
      <c r="E31" s="46"/>
      <c r="F31" s="46"/>
      <c r="G31" s="48"/>
    </row>
    <row r="32" spans="1:13" x14ac:dyDescent="0.25">
      <c r="A32" s="42"/>
      <c r="B32" s="43"/>
      <c r="C32" s="73" t="s">
        <v>10</v>
      </c>
      <c r="D32" s="43">
        <v>1500</v>
      </c>
      <c r="E32" s="43">
        <v>700</v>
      </c>
      <c r="F32" s="43"/>
      <c r="G32" s="44"/>
    </row>
    <row r="33" spans="1:7" x14ac:dyDescent="0.25">
      <c r="A33" s="45"/>
      <c r="B33" s="43" t="s">
        <v>84</v>
      </c>
      <c r="C33" s="73" t="s">
        <v>9</v>
      </c>
      <c r="D33" s="43">
        <v>2000</v>
      </c>
      <c r="E33" s="46"/>
      <c r="F33" s="46"/>
      <c r="G33" s="48"/>
    </row>
    <row r="34" spans="1:7" x14ac:dyDescent="0.25">
      <c r="A34" s="42"/>
      <c r="B34" s="43" t="s">
        <v>76</v>
      </c>
      <c r="C34" s="73" t="s">
        <v>9</v>
      </c>
      <c r="D34" s="43">
        <v>2000</v>
      </c>
      <c r="E34" s="43"/>
      <c r="F34" s="43"/>
      <c r="G34" s="44"/>
    </row>
    <row r="35" spans="1:7" x14ac:dyDescent="0.25">
      <c r="A35" s="45"/>
      <c r="B35" s="43" t="s">
        <v>77</v>
      </c>
      <c r="C35" s="73" t="s">
        <v>9</v>
      </c>
      <c r="D35" s="43">
        <v>2000</v>
      </c>
      <c r="E35" s="46"/>
      <c r="F35" s="46"/>
      <c r="G35" s="48"/>
    </row>
    <row r="36" spans="1:7" x14ac:dyDescent="0.25">
      <c r="A36" s="42"/>
      <c r="B36" s="43" t="s">
        <v>221</v>
      </c>
      <c r="C36" s="73" t="s">
        <v>9</v>
      </c>
      <c r="D36" s="43">
        <v>2000</v>
      </c>
      <c r="E36" s="43"/>
      <c r="F36" s="43"/>
      <c r="G36" s="44"/>
    </row>
    <row r="37" spans="1:7" x14ac:dyDescent="0.25">
      <c r="A37" s="45"/>
      <c r="B37" s="46" t="s">
        <v>85</v>
      </c>
      <c r="C37" s="73" t="s">
        <v>9</v>
      </c>
      <c r="D37" s="43">
        <v>2500</v>
      </c>
      <c r="E37" s="46"/>
      <c r="F37" s="46"/>
      <c r="G37" s="48"/>
    </row>
    <row r="38" spans="1:7" x14ac:dyDescent="0.25">
      <c r="A38" s="42"/>
      <c r="B38" s="43"/>
      <c r="C38" s="73"/>
      <c r="D38" s="43"/>
      <c r="E38" s="43"/>
      <c r="F38" s="43"/>
      <c r="G38" s="44"/>
    </row>
    <row r="39" spans="1:7" x14ac:dyDescent="0.25">
      <c r="A39" s="45"/>
      <c r="B39" s="46"/>
      <c r="C39" s="73"/>
      <c r="D39" s="46"/>
      <c r="E39" s="46"/>
      <c r="F39" s="46"/>
      <c r="G39" s="48"/>
    </row>
    <row r="40" spans="1:7" x14ac:dyDescent="0.25">
      <c r="A40" s="42"/>
      <c r="B40" s="43"/>
      <c r="C40" s="73"/>
      <c r="D40" s="43"/>
      <c r="E40" s="43"/>
      <c r="F40" s="43"/>
      <c r="G40" s="44"/>
    </row>
    <row r="41" spans="1:7" x14ac:dyDescent="0.25">
      <c r="A41" s="45"/>
      <c r="B41" s="46"/>
      <c r="C41" s="73"/>
      <c r="D41" s="46"/>
      <c r="E41" s="46"/>
      <c r="F41" s="46"/>
      <c r="G41" s="48"/>
    </row>
    <row r="42" spans="1:7" x14ac:dyDescent="0.25">
      <c r="A42" s="42"/>
      <c r="B42" s="43"/>
      <c r="C42" s="73"/>
      <c r="D42" s="43"/>
      <c r="E42" s="43"/>
      <c r="F42" s="43"/>
      <c r="G42" s="44"/>
    </row>
    <row r="43" spans="1:7" x14ac:dyDescent="0.25">
      <c r="A43" s="45"/>
      <c r="B43" s="46"/>
      <c r="C43" s="73"/>
      <c r="D43" s="46"/>
      <c r="E43" s="46"/>
      <c r="F43" s="46"/>
      <c r="G43" s="48"/>
    </row>
    <row r="44" spans="1:7" x14ac:dyDescent="0.25">
      <c r="A44" s="45"/>
      <c r="B44" s="46"/>
      <c r="C44" s="73"/>
      <c r="D44" s="43"/>
      <c r="E44" s="43"/>
      <c r="F44" s="43"/>
      <c r="G44" s="44"/>
    </row>
    <row r="45" spans="1:7" x14ac:dyDescent="0.25">
      <c r="A45" s="45"/>
      <c r="B45" s="46"/>
      <c r="C45" s="73"/>
      <c r="D45" s="6"/>
      <c r="E45" s="6"/>
      <c r="F45" s="6"/>
      <c r="G45" s="8"/>
    </row>
    <row r="46" spans="1:7" x14ac:dyDescent="0.25">
      <c r="A46" s="5" t="s">
        <v>34</v>
      </c>
      <c r="B46" s="6"/>
      <c r="C46" s="73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="80" zoomScaleNormal="80" workbookViewId="0">
      <selection activeCell="C14" sqref="C14"/>
    </sheetView>
  </sheetViews>
  <sheetFormatPr defaultColWidth="11.42578125" defaultRowHeight="15" x14ac:dyDescent="0.25"/>
  <cols>
    <col min="1" max="5" width="30.7109375" style="72" customWidth="1"/>
    <col min="6" max="6" width="34.42578125" style="72" customWidth="1"/>
    <col min="7" max="7" width="30.7109375" style="72" customWidth="1"/>
    <col min="8" max="8" width="16" style="72" bestFit="1" customWidth="1"/>
    <col min="9" max="9" width="12.85546875" style="72" bestFit="1" customWidth="1"/>
    <col min="10" max="11" width="11.42578125" style="72" customWidth="1"/>
    <col min="12" max="16384" width="11.42578125" style="72"/>
  </cols>
  <sheetData>
    <row r="1" spans="1:9" ht="255.75" customHeight="1" x14ac:dyDescent="0.25"/>
    <row r="2" spans="1:9" ht="21" customHeight="1" x14ac:dyDescent="0.35">
      <c r="A2" s="38" t="s">
        <v>18</v>
      </c>
      <c r="B2" s="39" t="s">
        <v>196</v>
      </c>
      <c r="C2" s="37"/>
      <c r="D2" s="37" t="str">
        <f ca="1">IF($B$2=RIGHT(CELL("filename",$B$2),LEN(CELL("filename",$B$2))-FIND("]",CELL("filename",$B$2))), "Todo OK ", "No coincide nombre del template con nombre de Prescripción")</f>
        <v xml:space="preserve">Todo OK </v>
      </c>
      <c r="E2" s="37"/>
      <c r="F2" s="37"/>
      <c r="G2" s="37"/>
    </row>
    <row r="4" spans="1:9" x14ac:dyDescent="0.25">
      <c r="A4" s="23" t="s">
        <v>20</v>
      </c>
      <c r="B4" s="24" t="s">
        <v>21</v>
      </c>
      <c r="C4" s="24" t="s">
        <v>22</v>
      </c>
      <c r="D4" s="24" t="s">
        <v>23</v>
      </c>
      <c r="E4" s="25" t="s">
        <v>24</v>
      </c>
      <c r="G4" s="72" t="s">
        <v>25</v>
      </c>
    </row>
    <row r="5" spans="1:9" ht="15.75" customHeight="1" x14ac:dyDescent="0.25">
      <c r="A5" s="26" t="s">
        <v>91</v>
      </c>
      <c r="B5" s="27">
        <v>800</v>
      </c>
      <c r="C5" s="27">
        <v>800</v>
      </c>
      <c r="D5" s="27">
        <f>'PALIATIVO 8GY'!$B5/'PALIATIVO 8GY'!$C5</f>
        <v>1</v>
      </c>
      <c r="E5" s="28">
        <v>1</v>
      </c>
      <c r="G5" s="72" t="s">
        <v>128</v>
      </c>
      <c r="H5" s="35"/>
    </row>
    <row r="6" spans="1:9" x14ac:dyDescent="0.25">
      <c r="I6" s="34"/>
    </row>
    <row r="7" spans="1:9" x14ac:dyDescent="0.25">
      <c r="A7" s="29" t="s">
        <v>27</v>
      </c>
      <c r="B7" s="30" t="s">
        <v>20</v>
      </c>
      <c r="C7" s="30" t="s">
        <v>28</v>
      </c>
      <c r="D7" s="30" t="s">
        <v>29</v>
      </c>
      <c r="E7" s="30" t="s">
        <v>30</v>
      </c>
      <c r="F7" s="30" t="s">
        <v>31</v>
      </c>
      <c r="G7" s="31" t="s">
        <v>32</v>
      </c>
    </row>
    <row r="8" spans="1:9" x14ac:dyDescent="0.25">
      <c r="A8" s="42" t="s">
        <v>33</v>
      </c>
      <c r="B8" s="43" t="s">
        <v>91</v>
      </c>
      <c r="C8" s="73" t="s">
        <v>3</v>
      </c>
      <c r="D8" s="43">
        <v>776</v>
      </c>
      <c r="E8" s="43">
        <v>95</v>
      </c>
      <c r="F8" s="43">
        <v>760</v>
      </c>
      <c r="G8" s="44">
        <v>95</v>
      </c>
    </row>
    <row r="9" spans="1:9" x14ac:dyDescent="0.25">
      <c r="A9" s="45"/>
      <c r="B9" s="46"/>
      <c r="C9" s="73" t="s">
        <v>9</v>
      </c>
      <c r="D9" s="46">
        <v>856</v>
      </c>
      <c r="E9" s="46"/>
      <c r="F9" s="46">
        <v>880</v>
      </c>
      <c r="G9" s="48"/>
    </row>
    <row r="10" spans="1:9" x14ac:dyDescent="0.25">
      <c r="A10" s="42"/>
      <c r="B10" s="43"/>
      <c r="C10" s="73"/>
      <c r="D10" s="43"/>
      <c r="E10" s="43"/>
      <c r="F10" s="43"/>
      <c r="G10" s="44"/>
    </row>
    <row r="11" spans="1:9" x14ac:dyDescent="0.25">
      <c r="A11" s="45"/>
      <c r="B11" s="46"/>
      <c r="C11" s="73"/>
      <c r="D11" s="46"/>
      <c r="E11" s="46"/>
      <c r="F11" s="46"/>
      <c r="G11" s="48"/>
    </row>
    <row r="12" spans="1:9" x14ac:dyDescent="0.25">
      <c r="A12" s="42"/>
      <c r="B12" s="43"/>
      <c r="C12" s="73"/>
      <c r="D12" s="43"/>
      <c r="E12" s="43"/>
      <c r="F12" s="43"/>
      <c r="G12" s="44"/>
    </row>
    <row r="13" spans="1:9" x14ac:dyDescent="0.25">
      <c r="A13" s="45"/>
      <c r="B13" s="46"/>
      <c r="C13" s="73"/>
      <c r="D13" s="46"/>
      <c r="E13" s="46"/>
      <c r="F13" s="46"/>
      <c r="G13" s="48"/>
    </row>
    <row r="14" spans="1:9" x14ac:dyDescent="0.25">
      <c r="A14" s="42"/>
      <c r="B14" s="43"/>
      <c r="C14" s="73"/>
      <c r="D14" s="43"/>
      <c r="E14" s="43"/>
      <c r="F14" s="43"/>
      <c r="G14" s="44"/>
    </row>
    <row r="15" spans="1:9" x14ac:dyDescent="0.25">
      <c r="A15" s="45"/>
      <c r="B15" s="46"/>
      <c r="C15" s="73"/>
      <c r="D15" s="46"/>
      <c r="E15" s="46"/>
      <c r="F15" s="46"/>
      <c r="G15" s="48"/>
    </row>
    <row r="16" spans="1:9" x14ac:dyDescent="0.25">
      <c r="A16" s="42"/>
      <c r="B16" s="43"/>
      <c r="C16" s="73"/>
      <c r="D16" s="43"/>
      <c r="E16" s="43"/>
      <c r="F16" s="43"/>
      <c r="G16" s="44"/>
    </row>
    <row r="17" spans="1:7" x14ac:dyDescent="0.25">
      <c r="A17" s="45"/>
      <c r="B17" s="46"/>
      <c r="C17" s="73"/>
      <c r="D17" s="46"/>
      <c r="E17" s="46"/>
      <c r="F17" s="46"/>
      <c r="G17" s="48"/>
    </row>
    <row r="18" spans="1:7" x14ac:dyDescent="0.25">
      <c r="A18" s="42"/>
      <c r="B18" s="43"/>
      <c r="C18" s="73"/>
      <c r="D18" s="43"/>
      <c r="E18" s="43"/>
      <c r="F18" s="43"/>
      <c r="G18" s="44"/>
    </row>
    <row r="19" spans="1:7" x14ac:dyDescent="0.25">
      <c r="A19" s="45"/>
      <c r="B19" s="46"/>
      <c r="C19" s="73"/>
      <c r="D19" s="46"/>
      <c r="E19" s="46"/>
      <c r="F19" s="46"/>
      <c r="G19" s="48"/>
    </row>
    <row r="20" spans="1:7" x14ac:dyDescent="0.25">
      <c r="A20" s="42"/>
      <c r="B20" s="43"/>
      <c r="C20" s="73"/>
      <c r="D20" s="43"/>
      <c r="E20" s="43"/>
      <c r="F20" s="43"/>
      <c r="G20" s="44"/>
    </row>
    <row r="21" spans="1:7" x14ac:dyDescent="0.25">
      <c r="A21" s="45"/>
      <c r="B21" s="46"/>
      <c r="C21" s="73"/>
      <c r="D21" s="46"/>
      <c r="E21" s="46"/>
      <c r="F21" s="46"/>
      <c r="G21" s="48"/>
    </row>
    <row r="22" spans="1:7" x14ac:dyDescent="0.25">
      <c r="A22" s="42"/>
      <c r="B22" s="43"/>
      <c r="C22" s="73"/>
      <c r="D22" s="43"/>
      <c r="E22" s="43"/>
      <c r="F22" s="43"/>
      <c r="G22" s="44"/>
    </row>
    <row r="23" spans="1:7" x14ac:dyDescent="0.25">
      <c r="A23" s="45"/>
      <c r="B23" s="46"/>
      <c r="C23" s="73"/>
      <c r="D23" s="46"/>
      <c r="E23" s="46"/>
      <c r="F23" s="46"/>
      <c r="G23" s="48"/>
    </row>
    <row r="24" spans="1:7" x14ac:dyDescent="0.25">
      <c r="A24" s="42"/>
      <c r="B24" s="43"/>
      <c r="C24" s="73"/>
      <c r="D24" s="43"/>
      <c r="E24" s="43"/>
      <c r="F24" s="43"/>
      <c r="G24" s="44"/>
    </row>
    <row r="25" spans="1:7" x14ac:dyDescent="0.25">
      <c r="A25" s="45"/>
      <c r="B25" s="46"/>
      <c r="C25" s="73"/>
      <c r="D25" s="46"/>
      <c r="E25" s="46"/>
      <c r="F25" s="46"/>
      <c r="G25" s="48"/>
    </row>
    <row r="26" spans="1:7" x14ac:dyDescent="0.25">
      <c r="A26" s="42"/>
      <c r="B26" s="43"/>
      <c r="C26" s="73"/>
      <c r="D26" s="43"/>
      <c r="E26" s="43"/>
      <c r="F26" s="43"/>
      <c r="G26" s="44"/>
    </row>
    <row r="27" spans="1:7" x14ac:dyDescent="0.25">
      <c r="A27" s="45"/>
      <c r="B27" s="46"/>
      <c r="C27" s="73"/>
      <c r="D27" s="46"/>
      <c r="E27" s="46"/>
      <c r="F27" s="46"/>
      <c r="G27" s="48"/>
    </row>
    <row r="28" spans="1:7" x14ac:dyDescent="0.25">
      <c r="A28" s="42"/>
      <c r="B28" s="43"/>
      <c r="C28" s="73"/>
      <c r="D28" s="43"/>
      <c r="E28" s="43"/>
      <c r="F28" s="43"/>
      <c r="G28" s="44"/>
    </row>
    <row r="29" spans="1:7" x14ac:dyDescent="0.25">
      <c r="A29" s="45"/>
      <c r="B29" s="46"/>
      <c r="C29" s="73"/>
      <c r="D29" s="46"/>
      <c r="E29" s="46"/>
      <c r="F29" s="46"/>
      <c r="G29" s="48"/>
    </row>
    <row r="30" spans="1:7" x14ac:dyDescent="0.25">
      <c r="A30" s="42"/>
      <c r="B30" s="43"/>
      <c r="C30" s="73"/>
      <c r="D30" s="43"/>
      <c r="E30" s="43"/>
      <c r="F30" s="43"/>
      <c r="G30" s="44"/>
    </row>
    <row r="31" spans="1:7" x14ac:dyDescent="0.25">
      <c r="A31" s="45"/>
      <c r="B31" s="46"/>
      <c r="C31" s="73"/>
      <c r="D31" s="46"/>
      <c r="E31" s="46"/>
      <c r="F31" s="46"/>
      <c r="G31" s="48"/>
    </row>
    <row r="32" spans="1:7" x14ac:dyDescent="0.25">
      <c r="A32" s="42"/>
      <c r="B32" s="43"/>
      <c r="C32" s="73"/>
      <c r="D32" s="43"/>
      <c r="E32" s="43"/>
      <c r="F32" s="43"/>
      <c r="G32" s="44"/>
    </row>
    <row r="33" spans="1:7" x14ac:dyDescent="0.25">
      <c r="A33" s="45"/>
      <c r="B33" s="46"/>
      <c r="C33" s="73"/>
      <c r="D33" s="46"/>
      <c r="E33" s="46"/>
      <c r="F33" s="46"/>
      <c r="G33" s="48"/>
    </row>
    <row r="34" spans="1:7" x14ac:dyDescent="0.25">
      <c r="A34" s="42"/>
      <c r="B34" s="43"/>
      <c r="C34" s="73"/>
      <c r="D34" s="43"/>
      <c r="E34" s="43"/>
      <c r="F34" s="43"/>
      <c r="G34" s="44"/>
    </row>
    <row r="35" spans="1:7" x14ac:dyDescent="0.25">
      <c r="A35" s="45"/>
      <c r="B35" s="46"/>
      <c r="C35" s="73"/>
      <c r="D35" s="46"/>
      <c r="E35" s="46"/>
      <c r="F35" s="46"/>
      <c r="G35" s="48"/>
    </row>
    <row r="36" spans="1:7" x14ac:dyDescent="0.25">
      <c r="A36" s="42"/>
      <c r="B36" s="43"/>
      <c r="C36" s="73"/>
      <c r="D36" s="43"/>
      <c r="E36" s="43"/>
      <c r="F36" s="43"/>
      <c r="G36" s="44"/>
    </row>
    <row r="37" spans="1:7" x14ac:dyDescent="0.25">
      <c r="A37" s="45"/>
      <c r="B37" s="46"/>
      <c r="C37" s="73"/>
      <c r="D37" s="46"/>
      <c r="E37" s="46"/>
      <c r="F37" s="46"/>
      <c r="G37" s="48"/>
    </row>
    <row r="38" spans="1:7" x14ac:dyDescent="0.25">
      <c r="A38" s="42"/>
      <c r="B38" s="43"/>
      <c r="C38" s="73"/>
      <c r="D38" s="43"/>
      <c r="E38" s="43"/>
      <c r="F38" s="43"/>
      <c r="G38" s="44"/>
    </row>
    <row r="39" spans="1:7" x14ac:dyDescent="0.25">
      <c r="A39" s="45"/>
      <c r="B39" s="46"/>
      <c r="C39" s="73"/>
      <c r="D39" s="46"/>
      <c r="E39" s="46"/>
      <c r="F39" s="46"/>
      <c r="G39" s="48"/>
    </row>
    <row r="40" spans="1:7" x14ac:dyDescent="0.25">
      <c r="A40" s="42"/>
      <c r="B40" s="43"/>
      <c r="C40" s="73"/>
      <c r="D40" s="43"/>
      <c r="E40" s="43"/>
      <c r="F40" s="43"/>
      <c r="G40" s="44"/>
    </row>
    <row r="41" spans="1:7" x14ac:dyDescent="0.25">
      <c r="A41" s="45"/>
      <c r="B41" s="46"/>
      <c r="C41" s="73"/>
      <c r="D41" s="46"/>
      <c r="E41" s="46"/>
      <c r="F41" s="46"/>
      <c r="G41" s="48"/>
    </row>
    <row r="42" spans="1:7" x14ac:dyDescent="0.25">
      <c r="A42" s="42"/>
      <c r="B42" s="43"/>
      <c r="C42" s="73"/>
      <c r="D42" s="43"/>
      <c r="E42" s="43"/>
      <c r="F42" s="43"/>
      <c r="G42" s="44"/>
    </row>
    <row r="43" spans="1:7" x14ac:dyDescent="0.25">
      <c r="A43" s="45"/>
      <c r="B43" s="46"/>
      <c r="C43" s="73"/>
      <c r="D43" s="46"/>
      <c r="E43" s="46"/>
      <c r="F43" s="46"/>
      <c r="G43" s="48"/>
    </row>
    <row r="44" spans="1:7" x14ac:dyDescent="0.25">
      <c r="A44" s="45"/>
      <c r="B44" s="46"/>
      <c r="C44" s="73"/>
      <c r="D44" s="43"/>
      <c r="E44" s="43"/>
      <c r="F44" s="43"/>
      <c r="G44" s="44"/>
    </row>
    <row r="45" spans="1:7" x14ac:dyDescent="0.25">
      <c r="A45" s="45"/>
      <c r="B45" s="46"/>
      <c r="C45" s="73"/>
      <c r="D45" s="6"/>
      <c r="E45" s="6"/>
      <c r="F45" s="6"/>
      <c r="G45" s="8"/>
    </row>
    <row r="46" spans="1:7" x14ac:dyDescent="0.25">
      <c r="A46" s="5" t="s">
        <v>34</v>
      </c>
      <c r="B46" s="6"/>
      <c r="C46" s="73"/>
    </row>
  </sheetData>
  <pageMargins left="0.7" right="0.7" top="0.75" bottom="0.75" header="0.3" footer="0.3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NE</vt:lpstr>
      <vt:lpstr>General</vt:lpstr>
      <vt:lpstr>TEMPLATE COPIAR AL FINAL</vt:lpstr>
      <vt:lpstr>VMI</vt:lpstr>
      <vt:lpstr>VMD</vt:lpstr>
      <vt:lpstr>VMI HIPO</vt:lpstr>
      <vt:lpstr>VMD HIPO</vt:lpstr>
      <vt:lpstr>VMI+BOOST INT HIPO</vt:lpstr>
      <vt:lpstr>VMD+BOOST INT HIPO</vt:lpstr>
      <vt:lpstr>VMI+BOOST INT</vt:lpstr>
      <vt:lpstr>VMD+BOOST INT</vt:lpstr>
      <vt:lpstr>VMI+BOOST SEC</vt:lpstr>
      <vt:lpstr>VMD+BOOST SEC</vt:lpstr>
      <vt:lpstr>VMI+LN</vt:lpstr>
      <vt:lpstr>VMD+LN</vt:lpstr>
      <vt:lpstr>VMI+LN+BOOST INT</vt:lpstr>
      <vt:lpstr>VMD+LN+BOOST INT</vt:lpstr>
      <vt:lpstr>VM_BILAT+BOOST INT</vt:lpstr>
      <vt:lpstr>VM_BILAT+LN_I+BOOST INT</vt:lpstr>
      <vt:lpstr>VM_BILAT+LN_D+BOOST INT</vt:lpstr>
      <vt:lpstr>VMI+LN+CMI+BOOST INT</vt:lpstr>
      <vt:lpstr>VMD+LN+CMI+BOOST INT</vt:lpstr>
      <vt:lpstr>LECHO_I</vt:lpstr>
      <vt:lpstr>LECHO_D</vt:lpstr>
      <vt:lpstr>LECHO_I+LN</vt:lpstr>
      <vt:lpstr>LECHO_D+LN</vt:lpstr>
      <vt:lpstr>LECHO_I+LN+CMI</vt:lpstr>
      <vt:lpstr>LECHO_D+LN+CMI</vt:lpstr>
      <vt:lpstr>APBI MAMA_D</vt:lpstr>
      <vt:lpstr>APBI MAMA_I</vt:lpstr>
      <vt:lpstr>VEJIGA+LN 5500-20FX</vt:lpstr>
      <vt:lpstr>PR 6000-20FX</vt:lpstr>
      <vt:lpstr>PR+VS 6000-20FX</vt:lpstr>
      <vt:lpstr>PR+VS+LN 6000-20FX</vt:lpstr>
      <vt:lpstr>PR+VS+LN 7020-27FX</vt:lpstr>
      <vt:lpstr>PR+VS+LN+LNpos 7020-27FX</vt:lpstr>
      <vt:lpstr>LECHO+LN 5240-20FX</vt:lpstr>
      <vt:lpstr>LECHO_PR HIPO 5240-20FX</vt:lpstr>
      <vt:lpstr>LECHO_PR+LN 7000 4600-35FX</vt:lpstr>
      <vt:lpstr>SBRT PR+VS 5FX</vt:lpstr>
      <vt:lpstr>CERVIX 4600-23FX</vt:lpstr>
      <vt:lpstr>ENDOMETRIO 4600-23FX</vt:lpstr>
      <vt:lpstr>PELVIS GINECOLOGICA</vt:lpstr>
      <vt:lpstr>PELVIS GINECOLOGICA + LA</vt:lpstr>
      <vt:lpstr>CERVIX+LN+LNPOS</vt:lpstr>
      <vt:lpstr>RECTO CURSO CORTO</vt:lpstr>
      <vt:lpstr>RECTO CURSO LARGO 50GY</vt:lpstr>
      <vt:lpstr>RECTO CURSO LARGO 54GY</vt:lpstr>
      <vt:lpstr>CYC 70-63-56</vt:lpstr>
      <vt:lpstr>CYC 70-63</vt:lpstr>
      <vt:lpstr>CYC 66-59.4-54.12</vt:lpstr>
      <vt:lpstr>GLIOBLASTOMA 60GY</vt:lpstr>
      <vt:lpstr>HOLOCRANEO 30GY</vt:lpstr>
      <vt:lpstr>HOLOCRANEO 25GY</vt:lpstr>
      <vt:lpstr>HOLOCRANEO PROTHIPO</vt:lpstr>
      <vt:lpstr>HOLOCRANEO PROTHIPO+BOOST</vt:lpstr>
      <vt:lpstr>GLOTIS 55GY</vt:lpstr>
      <vt:lpstr>ESOFAGO 50.4GY</vt:lpstr>
      <vt:lpstr>ESOFAGO 50GY</vt:lpstr>
      <vt:lpstr>ESOFAGO CROSS</vt:lpstr>
      <vt:lpstr>PULMON 50GY</vt:lpstr>
      <vt:lpstr>PALIATIVO 30GY</vt:lpstr>
      <vt:lpstr>PALIATIVO 25GY</vt:lpstr>
      <vt:lpstr>PALIATIVO 20GY</vt:lpstr>
      <vt:lpstr>PALIATIVO 8GY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Lápera</dc:creator>
  <cp:lastModifiedBy>Florencia Sanchez</cp:lastModifiedBy>
  <dcterms:created xsi:type="dcterms:W3CDTF">2024-01-08T15:07:08Z</dcterms:created>
  <dcterms:modified xsi:type="dcterms:W3CDTF">2026-04-14T13:24:04Z</dcterms:modified>
</cp:coreProperties>
</file>